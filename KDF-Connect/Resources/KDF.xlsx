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jiitechcom-my.sharepoint.com/personal/alvaro_tojiitech_com/Documents/"/>
    </mc:Choice>
  </mc:AlternateContent>
  <xr:revisionPtr revIDLastSave="0" documentId="101_{8CECA24C-9468-47BC-B5CA-B09DFABD1D8D}" xr6:coauthVersionLast="46" xr6:coauthVersionMax="46" xr10:uidLastSave="{00000000-0000-0000-0000-000000000000}"/>
  <bookViews>
    <workbookView xWindow="-28920" yWindow="8100" windowWidth="29040" windowHeight="15840" firstSheet="6" activeTab="6" xr2:uid="{5F21E33F-3460-1945-A49F-4B49349D5A37}"/>
  </bookViews>
  <sheets>
    <sheet name="Estimates - Comentarios" sheetId="7" r:id="rId1"/>
    <sheet name="Estimates" sheetId="4" r:id="rId2"/>
    <sheet name="Features" sheetId="1" r:id="rId3"/>
    <sheet name="Questions" sheetId="2" r:id="rId4"/>
    <sheet name="Notes" sheetId="3" r:id="rId5"/>
    <sheet name="Estimates (old)" sheetId="5" r:id="rId6"/>
    <sheet name="Sheet1" sheetId="6" r:id="rId7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F6" i="6" s="1"/>
  <c r="G6" i="6" s="1"/>
  <c r="F12" i="6" s="1"/>
  <c r="G12" i="6" s="1"/>
  <c r="F13" i="6" s="1"/>
  <c r="G13" i="6" s="1"/>
  <c r="F18" i="6" s="1"/>
  <c r="G18" i="6" s="1"/>
  <c r="F19" i="6" s="1"/>
  <c r="G19" i="6" s="1"/>
  <c r="G23" i="6"/>
  <c r="F26" i="6" s="1"/>
  <c r="G26" i="6" s="1"/>
  <c r="F30" i="6" s="1"/>
  <c r="G30" i="6" s="1"/>
  <c r="F32" i="6" s="1"/>
  <c r="G32" i="6" s="1"/>
  <c r="F35" i="6" s="1"/>
  <c r="G35" i="6" s="1"/>
  <c r="D37" i="6"/>
  <c r="D38" i="6" s="1"/>
  <c r="K8" i="7"/>
  <c r="F8" i="7"/>
  <c r="H19" i="7"/>
  <c r="F50" i="7"/>
  <c r="F49" i="7"/>
  <c r="F48" i="7"/>
  <c r="E47" i="7"/>
  <c r="F47" i="7"/>
  <c r="F45" i="7"/>
  <c r="F44" i="7"/>
  <c r="F52" i="7"/>
  <c r="F43" i="7"/>
  <c r="E42" i="7"/>
  <c r="F41" i="7"/>
  <c r="F40" i="7"/>
  <c r="F39" i="7"/>
  <c r="F37" i="7"/>
  <c r="F34" i="7"/>
  <c r="F32" i="7"/>
  <c r="F30" i="7"/>
  <c r="F29" i="7"/>
  <c r="E28" i="7"/>
  <c r="F28" i="7"/>
  <c r="F27" i="7"/>
  <c r="F26" i="7"/>
  <c r="F25" i="7"/>
  <c r="F23" i="7"/>
  <c r="F22" i="7"/>
  <c r="E20" i="7"/>
  <c r="F20" i="7"/>
  <c r="F17" i="7"/>
  <c r="F16" i="7"/>
  <c r="E15" i="7"/>
  <c r="F15" i="7"/>
  <c r="E14" i="7"/>
  <c r="F14" i="7"/>
  <c r="E13" i="7"/>
  <c r="F13" i="7"/>
  <c r="F11" i="7"/>
  <c r="E10" i="7"/>
  <c r="F9" i="7"/>
  <c r="F7" i="7"/>
  <c r="F5" i="7"/>
  <c r="E35" i="7"/>
  <c r="F10" i="7"/>
  <c r="F35" i="7"/>
  <c r="K5" i="7"/>
  <c r="E52" i="7"/>
  <c r="F42" i="7"/>
  <c r="K5" i="4"/>
  <c r="L5" i="4"/>
  <c r="K8" i="4"/>
  <c r="F42" i="4"/>
  <c r="F40" i="4"/>
  <c r="F39" i="4"/>
  <c r="F38" i="4"/>
  <c r="F36" i="4"/>
  <c r="F22" i="4"/>
  <c r="F23" i="4"/>
  <c r="K7" i="7"/>
  <c r="K6" i="7"/>
  <c r="L6" i="4"/>
  <c r="L7" i="4"/>
  <c r="L8" i="4"/>
  <c r="L9" i="4"/>
  <c r="E46" i="4"/>
  <c r="F46" i="4"/>
  <c r="F45" i="4"/>
  <c r="E41" i="4"/>
  <c r="E20" i="4"/>
  <c r="F19" i="4"/>
  <c r="F17" i="4"/>
  <c r="F16" i="4"/>
  <c r="F11" i="4"/>
  <c r="F9" i="4"/>
  <c r="F5" i="4"/>
  <c r="E15" i="4"/>
  <c r="F15" i="4"/>
  <c r="E14" i="4"/>
  <c r="E13" i="4"/>
  <c r="F13" i="4"/>
  <c r="E10" i="4"/>
  <c r="F10" i="4"/>
  <c r="E28" i="4"/>
  <c r="E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73" i="5"/>
  <c r="E57" i="5"/>
  <c r="F56" i="5"/>
  <c r="F55" i="5"/>
  <c r="F54" i="5"/>
  <c r="F53" i="5"/>
  <c r="F52" i="5"/>
  <c r="F51" i="5"/>
  <c r="F50" i="5"/>
  <c r="F49" i="5"/>
  <c r="F48" i="5"/>
  <c r="F47" i="5"/>
  <c r="F46" i="5"/>
  <c r="F57" i="5"/>
  <c r="E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K7" i="5"/>
  <c r="L7" i="5"/>
  <c r="M7" i="5"/>
  <c r="F7" i="5"/>
  <c r="K6" i="5"/>
  <c r="L6" i="5"/>
  <c r="M6" i="5"/>
  <c r="F6" i="5"/>
  <c r="F41" i="5"/>
  <c r="K5" i="5"/>
  <c r="L5" i="7"/>
  <c r="E51" i="4"/>
  <c r="F41" i="4"/>
  <c r="F20" i="4"/>
  <c r="K8" i="5"/>
  <c r="L5" i="5"/>
  <c r="F44" i="4"/>
  <c r="F47" i="4"/>
  <c r="F48" i="4"/>
  <c r="F49" i="4"/>
  <c r="F50" i="4"/>
  <c r="F43" i="4"/>
  <c r="F51" i="4"/>
  <c r="F7" i="4"/>
  <c r="F8" i="4"/>
  <c r="F14" i="4"/>
  <c r="F25" i="4"/>
  <c r="F26" i="4"/>
  <c r="F27" i="4"/>
  <c r="F28" i="4"/>
  <c r="F29" i="4"/>
  <c r="F30" i="4"/>
  <c r="F31" i="4"/>
  <c r="F32" i="4"/>
  <c r="F33" i="4"/>
  <c r="F34" i="4"/>
  <c r="L8" i="7"/>
  <c r="L6" i="7"/>
  <c r="M5" i="7"/>
  <c r="M6" i="7"/>
  <c r="M7" i="7"/>
  <c r="K9" i="7"/>
  <c r="J17" i="7"/>
  <c r="L8" i="5"/>
  <c r="M5" i="5"/>
  <c r="M8" i="5"/>
  <c r="E34" i="4"/>
  <c r="M8" i="7"/>
  <c r="M9" i="7"/>
  <c r="L7" i="7"/>
  <c r="L9" i="7"/>
  <c r="K6" i="4"/>
  <c r="M5" i="4"/>
  <c r="K7" i="4"/>
  <c r="K9" i="4"/>
  <c r="M8" i="4"/>
  <c r="M6" i="4"/>
  <c r="M7" i="4"/>
  <c r="M9" i="4"/>
  <c r="D39" i="6" l="1"/>
  <c r="D41" i="6" s="1"/>
</calcChain>
</file>

<file path=xl/sharedStrings.xml><?xml version="1.0" encoding="utf-8"?>
<sst xmlns="http://schemas.openxmlformats.org/spreadsheetml/2006/main" count="385" uniqueCount="200">
  <si>
    <t>Riesgo</t>
  </si>
  <si>
    <t>1st Stage</t>
  </si>
  <si>
    <t>Administration App</t>
  </si>
  <si>
    <t>Estimates</t>
  </si>
  <si>
    <t>Resources</t>
  </si>
  <si>
    <t>Project (Incident) manager</t>
  </si>
  <si>
    <t>Hours</t>
  </si>
  <si>
    <t>Days</t>
  </si>
  <si>
    <t>Months</t>
  </si>
  <si>
    <t>Registrer a new project (incident)</t>
  </si>
  <si>
    <t>STAGE 1</t>
  </si>
  <si>
    <t>Quote Creation</t>
  </si>
  <si>
    <t>QA</t>
  </si>
  <si>
    <t>Checklist</t>
  </si>
  <si>
    <t>PM</t>
  </si>
  <si>
    <t>Template</t>
  </si>
  <si>
    <t>Si es más de un template, esto puede subir considerablemente. Hay que a) Definir los diferentes templates b) Hacer un preview del template (una miniatura o descripción) c) Usar el template escogido. A como lo veo facil se podría llevar 7 días = 56</t>
  </si>
  <si>
    <t>Contingency</t>
  </si>
  <si>
    <t>Categories</t>
  </si>
  <si>
    <t>Totals</t>
  </si>
  <si>
    <t>Photos</t>
  </si>
  <si>
    <t>Notes</t>
  </si>
  <si>
    <t>El QA lo subiría al 40%, dado que es movil se puede complicar las pruebas en diferentes devices</t>
  </si>
  <si>
    <t>Xactimate Quote</t>
  </si>
  <si>
    <t>El PM lo pondría minimo un 20%, un 10% lo veo muy poco sobretodo porque hay varios "intermediarios" en el proceso. Y lo tomaría del tiempo total no solo de QA</t>
  </si>
  <si>
    <t>Connect Api</t>
  </si>
  <si>
    <t xml:space="preserve">Acomodé la duración de otra forma. Yo pensaría que el QA y PM trabajen en paralelo, y un mes adicional para bugfixing y estabilización. Al final está quedando como un mes más corto. </t>
  </si>
  <si>
    <t>Generate Prices</t>
  </si>
  <si>
    <t>Manual Rate</t>
  </si>
  <si>
    <t>Genrate PDF</t>
  </si>
  <si>
    <t>Send Email</t>
  </si>
  <si>
    <t>Total</t>
  </si>
  <si>
    <t>Visit tracker</t>
  </si>
  <si>
    <t>Sketches</t>
  </si>
  <si>
    <t>Tendria que entender más contexto. Pero me imagino un canvas donde la persona que hace la visita tiene elementos que puede agragar al canvas, cambiar dimensiones y agregar comentarios. Lo veo como un trabajo de (a alto nivel) 2 personas por 3 meses = 960 horas +/-     ver: https://roughjs.com/</t>
  </si>
  <si>
    <t>Events log</t>
  </si>
  <si>
    <t>Timesheets</t>
  </si>
  <si>
    <t>Ver: https://sheetjs.com/</t>
  </si>
  <si>
    <t>Equipment</t>
  </si>
  <si>
    <t>Equipment Maintenance</t>
  </si>
  <si>
    <t>Equipment Timesheet</t>
  </si>
  <si>
    <t>Reports</t>
  </si>
  <si>
    <t>Personnel</t>
  </si>
  <si>
    <t>Timesheet</t>
  </si>
  <si>
    <t>Administration</t>
  </si>
  <si>
    <t>Categories Manintenance</t>
  </si>
  <si>
    <t xml:space="preserve">Checklist maintenance </t>
  </si>
  <si>
    <t>Templace maintenance</t>
  </si>
  <si>
    <t>User Roles maintenance</t>
  </si>
  <si>
    <t>Cuanto se puede compllicar un rol? Son roles unicamente del App? Si es lo tipico de apagar/encender features segun el rol unas 2 semanas deberia ser suficiente = 80 horas</t>
  </si>
  <si>
    <t>Framework</t>
  </si>
  <si>
    <t>Login</t>
  </si>
  <si>
    <t>Acá asumo que dependiendo del rol hay que apagar/mostrar features</t>
  </si>
  <si>
    <t>Agregué esta tarea, que basicamente es tener una bd local en del device y un mecanismo (con ciertas reglas) para sincronizar cuando se vuelve a estar online</t>
  </si>
  <si>
    <t>General components</t>
  </si>
  <si>
    <t>2nd Stage</t>
  </si>
  <si>
    <t>Tablets</t>
  </si>
  <si>
    <t>Calculate route</t>
  </si>
  <si>
    <t>See assignments</t>
  </si>
  <si>
    <t>2 Recursos x 2 meses</t>
  </si>
  <si>
    <t>Measurement Feature</t>
  </si>
  <si>
    <t>Push Notifications</t>
  </si>
  <si>
    <t>Offiline db/sync</t>
  </si>
  <si>
    <t>Lo bajé a 60 horas, no veo que sea tan complejo</t>
  </si>
  <si>
    <t xml:space="preserve">Event mantanince </t>
  </si>
  <si>
    <t>https://www.nextgearsolutions.com/mica-mitigation-management-software/</t>
  </si>
  <si>
    <t>Web &amp; Mobile support (offline)</t>
  </si>
  <si>
    <t>https://www.youtube.com/watch?v=ZpqSQDRGpP8</t>
  </si>
  <si>
    <t>Incident manager</t>
  </si>
  <si>
    <t>https://www.youtube.com/watch?v=zd1LTYG6M74</t>
  </si>
  <si>
    <t>Registrer a new incident</t>
  </si>
  <si>
    <t>By client</t>
  </si>
  <si>
    <t>By agent</t>
  </si>
  <si>
    <t>Incident tracking</t>
  </si>
  <si>
    <t>Status</t>
  </si>
  <si>
    <t>Document equipment Usage</t>
  </si>
  <si>
    <t>Bar code reader</t>
  </si>
  <si>
    <t>https://codelabs.developers.google.com/codelabs/bar-codes/#0</t>
  </si>
  <si>
    <t>Manual Tracking</t>
  </si>
  <si>
    <t>Request visit</t>
  </si>
  <si>
    <t>Track visiit</t>
  </si>
  <si>
    <t>Associate Incident</t>
  </si>
  <si>
    <t>Register information</t>
  </si>
  <si>
    <t>Psychometric &amp; Mosture Data</t>
  </si>
  <si>
    <t>Tracking projects</t>
  </si>
  <si>
    <t>Projects</t>
  </si>
  <si>
    <t>Documents?</t>
  </si>
  <si>
    <t>Visits</t>
  </si>
  <si>
    <t>Photos?</t>
  </si>
  <si>
    <t>Metrics</t>
  </si>
  <si>
    <t>Sketch</t>
  </si>
  <si>
    <t>Incidents</t>
  </si>
  <si>
    <t>Quotes</t>
  </si>
  <si>
    <t>Request a quote</t>
  </si>
  <si>
    <t>Quote work order</t>
  </si>
  <si>
    <t>Automatic quote</t>
  </si>
  <si>
    <t>Workflow (requested- reviewing - Approved)</t>
  </si>
  <si>
    <t>Send quote</t>
  </si>
  <si>
    <t>Clients</t>
  </si>
  <si>
    <t xml:space="preserve">Platform maintenance </t>
  </si>
  <si>
    <t>Activate - Inactivate license</t>
  </si>
  <si>
    <t>Usage report</t>
  </si>
  <si>
    <t>Pruvan</t>
  </si>
  <si>
    <t>Manage Documents?</t>
  </si>
  <si>
    <t>https://pruvan.com/</t>
  </si>
  <si>
    <t>(App for Employee to go to customers)</t>
  </si>
  <si>
    <t>Schedule per day?</t>
  </si>
  <si>
    <t>Shared or Print?</t>
  </si>
  <si>
    <t>https://play.google.com/store/apps/details?id=com.pruvan.mobile3.direct&amp;hl=en</t>
  </si>
  <si>
    <t>Get service request</t>
  </si>
  <si>
    <t>Get survey's</t>
  </si>
  <si>
    <t>Payments? / Salaries?? / Apply Charges like purchases?</t>
  </si>
  <si>
    <t>Take photos / create quotes</t>
  </si>
  <si>
    <t>Get notifications? about getting work or payments</t>
  </si>
  <si>
    <t>3rd Stage</t>
  </si>
  <si>
    <t>Pro Assits / Customer facing</t>
  </si>
  <si>
    <t>https://www.youtube.com/watch?v=5X3YLV1KP8U</t>
  </si>
  <si>
    <t>(App for Customers to request services)</t>
  </si>
  <si>
    <t>Request Service</t>
  </si>
  <si>
    <t>Get notifications (when technician is assigned, 
arrived, completed)</t>
  </si>
  <si>
    <t>https://www.nextgearsolutions.com/proassist-real-time-customer-connection/</t>
  </si>
  <si>
    <t>See historial?</t>
  </si>
  <si>
    <t>Get surveys to rate the service</t>
  </si>
  <si>
    <t>Chat feature?</t>
  </si>
  <si>
    <t>Sign documents (reader on mobile app)</t>
  </si>
  <si>
    <t>Route tracking of the contractor</t>
  </si>
  <si>
    <t>Payments?</t>
  </si>
  <si>
    <t xml:space="preserve">Notes </t>
  </si>
  <si>
    <t>Are you gonna proccess for payments? To technicians or get payments from customers?</t>
  </si>
  <si>
    <t>After an order has been sent? can the technician do later changes or what happens when the review the quote and see something is missing</t>
  </si>
  <si>
    <t>Are technicians or customers allowed to print copies or the drats or preorders? or just the approved ones?</t>
  </si>
  <si>
    <t>Are the services urgent or do they need could schedule services for later days?</t>
  </si>
  <si>
    <t>When do you need the development to be available? Are there any key milestones, important dates, or time constraints?</t>
  </si>
  <si>
    <t>How many users are you expecting will use the apps?</t>
  </si>
  <si>
    <t xml:space="preserve">Type of body compositions of the ends users for the tablet version? </t>
  </si>
  <si>
    <t>Do you have an specific budget for the project?</t>
  </si>
  <si>
    <t>Do you have any deadline fo the project?</t>
  </si>
  <si>
    <t>Which are the key point to choose a vendor?</t>
  </si>
  <si>
    <t>Clients how use the application have an annual income of $1mill to more than $6.5mill</t>
  </si>
  <si>
    <t>https://www.youtube.com/watch?v=BWRni6eR-KU.</t>
  </si>
  <si>
    <t>Pruvan Pricing</t>
  </si>
  <si>
    <t>Connect ~ Field Force</t>
  </si>
  <si>
    <t>Connect ~ Back Office</t>
  </si>
  <si>
    <t>Learning in the business: https://greggsargent.teachable.com/</t>
  </si>
  <si>
    <t>https://www.youtube.com/watch?v=Wmb7OD7Bbdo</t>
  </si>
  <si>
    <t>https://www.itqlick.com/xactimate/pricing#:~:text=The%20price%20ranges%20are%20%2425,and%20%24150%20above%20per%20month.</t>
  </si>
  <si>
    <t>Competitors</t>
  </si>
  <si>
    <t>https://www.chetu.com/blogs/insurance/xactware-revolutionizes-exact-estimates.php</t>
  </si>
  <si>
    <t>https://www.restorationmanager.net/mobile/</t>
  </si>
  <si>
    <t>https://www.xactware.com/en-us/solutions/property-preservation/xactprm/landing-page-1/?SFCID=70130000000WxB2&amp;LS=929</t>
  </si>
  <si>
    <t>AP Integration - xactimate.com</t>
  </si>
  <si>
    <t>https://github.com/Xactimate-One/sdk-php</t>
  </si>
  <si>
    <t>https://xactimate.com/api/help</t>
  </si>
  <si>
    <t>https://www.yumpu.com/en/document/view/38902667/xactimate-25-users-guidebook-xactware</t>
  </si>
  <si>
    <t>https://www.xactware.com/store/PRODUCTS/Xactimate/Subscribe/Xactimate-Subscription/2-466.do</t>
  </si>
  <si>
    <t>Priority</t>
  </si>
  <si>
    <t>STAGE 2</t>
  </si>
  <si>
    <t>STAGE 3</t>
  </si>
  <si>
    <t>Track visit</t>
  </si>
  <si>
    <t>Solo subir fotos, sino notas</t>
  </si>
  <si>
    <t xml:space="preserve">Mismia informacion, tracking </t>
  </si>
  <si>
    <t>No es una entidad aparte</t>
  </si>
  <si>
    <t>Solo generar documento</t>
  </si>
  <si>
    <t>Approve for review.</t>
  </si>
  <si>
    <t>Un solo documento para la aseguradora</t>
  </si>
  <si>
    <t>Para la desktop no hace falta</t>
  </si>
  <si>
    <t>Do skectches</t>
  </si>
  <si>
    <t>Handle Status</t>
  </si>
  <si>
    <t>Create a new incident</t>
  </si>
  <si>
    <t>Se pueden crear casos</t>
  </si>
  <si>
    <t>Schedule per day? (automatic?)</t>
  </si>
  <si>
    <t>no se ocupa crear quotes</t>
  </si>
  <si>
    <t>Web App</t>
  </si>
  <si>
    <t>Based</t>
  </si>
  <si>
    <t>Wks</t>
  </si>
  <si>
    <t>Date</t>
  </si>
  <si>
    <t>End</t>
  </si>
  <si>
    <t>Initial Setup</t>
  </si>
  <si>
    <t>Set Dev Env</t>
  </si>
  <si>
    <t>Users</t>
  </si>
  <si>
    <t>Roles</t>
  </si>
  <si>
    <t>Assign Roles to Users</t>
  </si>
  <si>
    <t xml:space="preserve">Password </t>
  </si>
  <si>
    <t>Timesheet Module</t>
  </si>
  <si>
    <t>Settings</t>
  </si>
  <si>
    <t xml:space="preserve">Security </t>
  </si>
  <si>
    <t xml:space="preserve">Reset Password </t>
  </si>
  <si>
    <t>Forgot Password</t>
  </si>
  <si>
    <t>Payment Report</t>
  </si>
  <si>
    <t>Payroll Export</t>
  </si>
  <si>
    <t>iPad</t>
  </si>
  <si>
    <t>Start</t>
  </si>
  <si>
    <t>General</t>
  </si>
  <si>
    <t xml:space="preserve">Timesheet </t>
  </si>
  <si>
    <t>Daily Timesheet</t>
  </si>
  <si>
    <t>Weekly Sign Off</t>
  </si>
  <si>
    <t>Deploy to Prod</t>
  </si>
  <si>
    <t>DEV</t>
  </si>
  <si>
    <t>TEST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</si>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</sst>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/>
    <xf numFmtId="0" fontId="0" fillId="2" borderId="8" xfId="0" applyFill="1" applyBorder="1"/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9" xfId="0" applyFill="1" applyBorder="1"/>
    <xf numFmtId="0" fontId="2" fillId="0" borderId="0" xfId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3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1" fillId="2" borderId="15" xfId="0" applyFont="1" applyFill="1" applyBorder="1"/>
    <xf numFmtId="0" fontId="0" fillId="3" borderId="21" xfId="0" applyFill="1" applyBorder="1"/>
    <xf numFmtId="0" fontId="2" fillId="2" borderId="0" xfId="1" applyFill="1" applyBorder="1"/>
    <xf numFmtId="0" fontId="0" fillId="2" borderId="19" xfId="0" applyFill="1" applyBorder="1" applyAlignment="1">
      <alignment wrapText="1"/>
    </xf>
    <xf numFmtId="0" fontId="0" fillId="2" borderId="23" xfId="0" applyFill="1" applyBorder="1"/>
    <xf numFmtId="0" fontId="0" fillId="2" borderId="24" xfId="0" applyFill="1" applyBorder="1"/>
    <xf numFmtId="0" fontId="0" fillId="2" borderId="15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0" xfId="0" applyFill="1" applyBorder="1" applyAlignment="1">
      <alignment horizontal="right"/>
    </xf>
    <xf numFmtId="0" fontId="0" fillId="2" borderId="27" xfId="0" applyFill="1" applyBorder="1"/>
    <xf numFmtId="0" fontId="0" fillId="2" borderId="28" xfId="0" applyFill="1" applyBorder="1"/>
    <xf numFmtId="0" fontId="1" fillId="2" borderId="0" xfId="0" applyFont="1" applyFill="1" applyBorder="1" applyAlignment="1">
      <alignment horizontal="right"/>
    </xf>
    <xf numFmtId="0" fontId="1" fillId="2" borderId="27" xfId="0" applyFont="1" applyFill="1" applyBorder="1"/>
    <xf numFmtId="0" fontId="0" fillId="3" borderId="18" xfId="0" applyFill="1" applyBorder="1"/>
    <xf numFmtId="0" fontId="1" fillId="4" borderId="27" xfId="0" applyFont="1" applyFill="1" applyBorder="1"/>
    <xf numFmtId="0" fontId="3" fillId="2" borderId="27" xfId="0" applyFont="1" applyFill="1" applyBorder="1" applyAlignment="1">
      <alignment horizontal="right"/>
    </xf>
    <xf numFmtId="0" fontId="3" fillId="2" borderId="27" xfId="0" applyFont="1" applyFill="1" applyBorder="1"/>
    <xf numFmtId="0" fontId="0" fillId="3" borderId="16" xfId="0" applyFill="1" applyBorder="1"/>
    <xf numFmtId="0" fontId="0" fillId="3" borderId="7" xfId="0" applyFill="1" applyBorder="1"/>
    <xf numFmtId="0" fontId="0" fillId="3" borderId="9" xfId="0" applyFill="1" applyBorder="1"/>
    <xf numFmtId="0" fontId="1" fillId="2" borderId="26" xfId="0" applyFont="1" applyFill="1" applyBorder="1"/>
    <xf numFmtId="0" fontId="0" fillId="3" borderId="0" xfId="0" applyFill="1" applyBorder="1"/>
    <xf numFmtId="0" fontId="1" fillId="3" borderId="4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8" xfId="0" applyFill="1" applyBorder="1"/>
    <xf numFmtId="0" fontId="1" fillId="3" borderId="7" xfId="0" applyFont="1" applyFill="1" applyBorder="1"/>
    <xf numFmtId="0" fontId="0" fillId="3" borderId="10" xfId="0" applyFill="1" applyBorder="1"/>
    <xf numFmtId="0" fontId="0" fillId="3" borderId="20" xfId="0" applyFill="1" applyBorder="1"/>
    <xf numFmtId="0" fontId="0" fillId="3" borderId="22" xfId="0" applyFill="1" applyBorder="1"/>
    <xf numFmtId="0" fontId="0" fillId="3" borderId="26" xfId="0" applyFill="1" applyBorder="1"/>
    <xf numFmtId="0" fontId="0" fillId="5" borderId="0" xfId="0" applyFill="1" applyBorder="1"/>
    <xf numFmtId="0" fontId="0" fillId="5" borderId="15" xfId="0" applyFill="1" applyBorder="1"/>
    <xf numFmtId="0" fontId="0" fillId="2" borderId="29" xfId="0" applyFill="1" applyBorder="1"/>
    <xf numFmtId="0" fontId="1" fillId="2" borderId="18" xfId="0" applyFont="1" applyFill="1" applyBorder="1"/>
    <xf numFmtId="0" fontId="1" fillId="2" borderId="30" xfId="0" applyFont="1" applyFill="1" applyBorder="1"/>
    <xf numFmtId="0" fontId="0" fillId="0" borderId="20" xfId="0" applyFill="1" applyBorder="1"/>
    <xf numFmtId="0" fontId="0" fillId="2" borderId="0" xfId="0" applyFill="1" applyBorder="1" applyAlignment="1">
      <alignment wrapText="1"/>
    </xf>
    <xf numFmtId="0" fontId="1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 applyAlignment="1"/>
    <xf numFmtId="16" fontId="0" fillId="0" borderId="0" xfId="0" applyNumberFormat="1"/>
    <xf numFmtId="16" fontId="1" fillId="0" borderId="0" xfId="0" applyNumberFormat="1" applyFont="1"/>
    <xf numFmtId="16" fontId="1" fillId="3" borderId="0" xfId="0" applyNumberFormat="1" applyFont="1" applyFill="1"/>
    <xf numFmtId="0" fontId="0" fillId="3" borderId="0" xfId="0" applyFill="1"/>
    <xf numFmtId="0" fontId="1" fillId="6" borderId="0" xfId="0" applyFont="1" applyFill="1"/>
    <xf numFmtId="0" fontId="0" fillId="6" borderId="0" xfId="0" applyFill="1"/>
    <xf numFmtId="0" fontId="0" fillId="0" borderId="2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</xdr:row>
      <xdr:rowOff>0</xdr:rowOff>
    </xdr:from>
    <xdr:to>
      <xdr:col>0</xdr:col>
      <xdr:colOff>5305425</xdr:colOff>
      <xdr:row>14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6E998-7773-43F1-9C3E-734703EE8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800100"/>
          <a:ext cx="5295900" cy="210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d1LTYG6M74" TargetMode="External"/><Relationship Id="rId3" Type="http://schemas.openxmlformats.org/officeDocument/2006/relationships/hyperlink" Target="https://pruvan.com/" TargetMode="External"/><Relationship Id="rId7" Type="http://schemas.openxmlformats.org/officeDocument/2006/relationships/hyperlink" Target="https://www.youtube.com/watch?v=ZpqSQDRGpP8" TargetMode="External"/><Relationship Id="rId2" Type="http://schemas.openxmlformats.org/officeDocument/2006/relationships/hyperlink" Target="https://play.google.com/store/apps/details?id=com.pruvan.mobile3.direct&amp;hl=en" TargetMode="External"/><Relationship Id="rId1" Type="http://schemas.openxmlformats.org/officeDocument/2006/relationships/hyperlink" Target="https://www.youtube.com/watch?v=5X3YLV1KP8U" TargetMode="External"/><Relationship Id="rId6" Type="http://schemas.openxmlformats.org/officeDocument/2006/relationships/hyperlink" Target="https://codelabs.developers.google.com/codelabs/bar-codes/" TargetMode="External"/><Relationship Id="rId5" Type="http://schemas.openxmlformats.org/officeDocument/2006/relationships/hyperlink" Target="https://www.nextgearsolutions.com/mica-mitigation-management-software/" TargetMode="External"/><Relationship Id="rId4" Type="http://schemas.openxmlformats.org/officeDocument/2006/relationships/hyperlink" Target="https://www.nextgearsolutions.com/proassist-real-time-customer-connectio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actware.com/en-us/solutions/property-preservation/xactprm/landing-page-1/?SFCID=70130000000WxB2&amp;LS=929" TargetMode="External"/><Relationship Id="rId3" Type="http://schemas.openxmlformats.org/officeDocument/2006/relationships/hyperlink" Target="https://xactimate.com/api/help" TargetMode="External"/><Relationship Id="rId7" Type="http://schemas.openxmlformats.org/officeDocument/2006/relationships/hyperlink" Target="https://www.restorationmanager.net/mobile/" TargetMode="External"/><Relationship Id="rId2" Type="http://schemas.openxmlformats.org/officeDocument/2006/relationships/hyperlink" Target="https://github.com/Xactimate-One/sdk-php" TargetMode="External"/><Relationship Id="rId1" Type="http://schemas.openxmlformats.org/officeDocument/2006/relationships/hyperlink" Target="https://www.youtube.com/watch?v=BWRni6eR-KU" TargetMode="External"/><Relationship Id="rId6" Type="http://schemas.openxmlformats.org/officeDocument/2006/relationships/hyperlink" Target="https://www.itqlick.com/xactimate/pricing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yumpu.com/en/document/view/38902667/xactimate-25-users-guidebook-xactware" TargetMode="External"/><Relationship Id="rId10" Type="http://schemas.openxmlformats.org/officeDocument/2006/relationships/hyperlink" Target="https://www.youtube.com/watch?v=Wmb7OD7Bbdo" TargetMode="External"/><Relationship Id="rId4" Type="http://schemas.openxmlformats.org/officeDocument/2006/relationships/hyperlink" Target="https://www.chetu.com/blogs/insurance/xactware-revolutionizes-exact-estimates.php" TargetMode="External"/><Relationship Id="rId9" Type="http://schemas.openxmlformats.org/officeDocument/2006/relationships/hyperlink" Target="https://www.xactware.com/store/PRODUCTS/Xactimate/Subscribe/Xactimate-Subscription/2-466.do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xtgearsolutions.com/proassist-real-time-customer-connection/" TargetMode="External"/><Relationship Id="rId1" Type="http://schemas.openxmlformats.org/officeDocument/2006/relationships/hyperlink" Target="https://www.youtube.com/watch?v=5X3YLV1KP8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D179-1F64-452D-B1A1-9688C626C3FD}">
  <dimension ref="A1:M58"/>
  <sheetViews>
    <sheetView zoomScale="104" workbookViewId="0">
      <selection activeCell="C8" sqref="C8"/>
    </sheetView>
  </sheetViews>
  <sheetFormatPr defaultColWidth="10.875" defaultRowHeight="15.75"/>
  <cols>
    <col min="1" max="1" width="12.5" style="1" customWidth="1"/>
    <col min="2" max="2" width="33.875" style="1" bestFit="1" customWidth="1"/>
    <col min="3" max="3" width="24.125" style="1" bestFit="1" customWidth="1"/>
    <col min="4" max="4" width="47.125" style="1" bestFit="1" customWidth="1"/>
    <col min="5" max="5" width="9" style="1" bestFit="1" customWidth="1"/>
    <col min="6" max="6" width="9" style="1" customWidth="1"/>
    <col min="7" max="7" width="24.125" style="1" customWidth="1"/>
    <col min="8" max="9" width="9" style="1"/>
    <col min="10" max="10" width="13.5" style="1" bestFit="1" customWidth="1"/>
    <col min="11" max="16384" width="10.875" style="1"/>
  </cols>
  <sheetData>
    <row r="1" spans="1:13">
      <c r="F1" s="1" t="s">
        <v>0</v>
      </c>
      <c r="G1" s="1">
        <v>2</v>
      </c>
    </row>
    <row r="2" spans="1:13">
      <c r="G2" s="30"/>
    </row>
    <row r="3" spans="1:13">
      <c r="A3" s="1" t="s">
        <v>1</v>
      </c>
      <c r="B3" s="4" t="s">
        <v>2</v>
      </c>
      <c r="C3" s="2"/>
      <c r="D3" s="2"/>
      <c r="E3" s="34" t="s">
        <v>3</v>
      </c>
      <c r="F3" s="35"/>
      <c r="L3" s="1" t="s">
        <v>4</v>
      </c>
      <c r="M3" s="1">
        <v>2</v>
      </c>
    </row>
    <row r="4" spans="1:13">
      <c r="B4" s="13" t="s">
        <v>5</v>
      </c>
      <c r="C4" s="6"/>
      <c r="D4" s="6"/>
      <c r="E4" s="34"/>
      <c r="F4" s="39"/>
      <c r="J4" s="38"/>
      <c r="K4" s="43" t="s">
        <v>6</v>
      </c>
      <c r="L4" s="43" t="s">
        <v>7</v>
      </c>
      <c r="M4" s="43" t="s">
        <v>8</v>
      </c>
    </row>
    <row r="5" spans="1:13">
      <c r="B5" s="14"/>
      <c r="C5" s="1" t="s">
        <v>9</v>
      </c>
      <c r="E5" s="22">
        <v>12</v>
      </c>
      <c r="F5" s="39">
        <f>E5*$G$1</f>
        <v>24</v>
      </c>
      <c r="J5" s="43" t="s">
        <v>10</v>
      </c>
      <c r="K5" s="38">
        <f>F35+F52</f>
        <v>3376</v>
      </c>
      <c r="L5" s="38">
        <f>(K5/8)/M3</f>
        <v>211</v>
      </c>
      <c r="M5" s="38">
        <f>L5/20</f>
        <v>10.55</v>
      </c>
    </row>
    <row r="6" spans="1:13" ht="18">
      <c r="B6" s="14"/>
      <c r="C6" s="16" t="s">
        <v>11</v>
      </c>
      <c r="D6" s="6"/>
      <c r="E6" s="22"/>
      <c r="F6" s="39"/>
      <c r="J6" s="44" t="s">
        <v>12</v>
      </c>
      <c r="K6" s="38">
        <f>K5*0.4</f>
        <v>1350.4</v>
      </c>
      <c r="L6" s="38">
        <f>L5*0.3</f>
        <v>63.3</v>
      </c>
      <c r="M6" s="38">
        <f>ROUND(M5,0) +1</f>
        <v>12</v>
      </c>
    </row>
    <row r="7" spans="1:13" ht="18">
      <c r="B7" s="14"/>
      <c r="C7" s="17"/>
      <c r="D7" s="1" t="s">
        <v>13</v>
      </c>
      <c r="E7" s="22">
        <v>12</v>
      </c>
      <c r="F7" s="39">
        <f>E7*$G$1</f>
        <v>24</v>
      </c>
      <c r="J7" s="44" t="s">
        <v>14</v>
      </c>
      <c r="K7" s="23">
        <f>K5*0.2</f>
        <v>675.2</v>
      </c>
      <c r="L7" s="23">
        <f>L6*0.1</f>
        <v>6.33</v>
      </c>
      <c r="M7" s="23">
        <f>M6</f>
        <v>12</v>
      </c>
    </row>
    <row r="8" spans="1:13" ht="157.9">
      <c r="B8" s="14"/>
      <c r="C8" s="17"/>
      <c r="D8" s="1" t="s">
        <v>15</v>
      </c>
      <c r="E8" s="22">
        <v>8</v>
      </c>
      <c r="F8" s="39">
        <f>E8*$G$1</f>
        <v>16</v>
      </c>
      <c r="G8" s="66" t="s">
        <v>16</v>
      </c>
      <c r="J8" s="44" t="s">
        <v>17</v>
      </c>
      <c r="K8" s="21">
        <f>K5*0.2</f>
        <v>675.2</v>
      </c>
      <c r="L8" s="21">
        <f t="shared" ref="L8:M8" si="0">L5*0.2</f>
        <v>42.2</v>
      </c>
      <c r="M8" s="21">
        <f t="shared" si="0"/>
        <v>2.1100000000000003</v>
      </c>
    </row>
    <row r="9" spans="1:13" ht="18">
      <c r="B9" s="14"/>
      <c r="C9" s="17"/>
      <c r="D9" s="1" t="s">
        <v>18</v>
      </c>
      <c r="E9" s="22">
        <v>8</v>
      </c>
      <c r="F9" s="39">
        <f t="shared" ref="F9:F11" si="1">E9*$G$1</f>
        <v>16</v>
      </c>
      <c r="J9" s="44" t="s">
        <v>19</v>
      </c>
      <c r="K9" s="45">
        <f>SUM(K5:K8)</f>
        <v>6076.7999999999993</v>
      </c>
      <c r="L9" s="45">
        <f t="shared" ref="L9" si="2">SUM(L5:L8)</f>
        <v>322.83</v>
      </c>
      <c r="M9" s="45">
        <f>ROUND(M7+M8, 0)</f>
        <v>14</v>
      </c>
    </row>
    <row r="10" spans="1:13">
      <c r="B10" s="14"/>
      <c r="C10" s="17"/>
      <c r="D10" s="1" t="s">
        <v>20</v>
      </c>
      <c r="E10" s="22">
        <f>3*8</f>
        <v>24</v>
      </c>
      <c r="F10" s="39">
        <f t="shared" si="1"/>
        <v>48</v>
      </c>
    </row>
    <row r="11" spans="1:13">
      <c r="B11" s="14"/>
      <c r="C11" s="17"/>
      <c r="D11" s="1" t="s">
        <v>21</v>
      </c>
      <c r="E11" s="22">
        <v>8</v>
      </c>
      <c r="F11" s="39">
        <f t="shared" si="1"/>
        <v>16</v>
      </c>
      <c r="J11" s="1" t="s">
        <v>22</v>
      </c>
    </row>
    <row r="12" spans="1:13">
      <c r="B12" s="5" t="s">
        <v>23</v>
      </c>
      <c r="C12" s="32"/>
      <c r="D12" s="6"/>
      <c r="E12" s="22"/>
      <c r="F12" s="39"/>
      <c r="J12" s="1" t="s">
        <v>24</v>
      </c>
    </row>
    <row r="13" spans="1:13">
      <c r="B13" s="8"/>
      <c r="C13" s="22" t="s">
        <v>25</v>
      </c>
      <c r="E13" s="22">
        <f>8*3</f>
        <v>24</v>
      </c>
      <c r="F13" s="39">
        <f>E13*$G$1</f>
        <v>48</v>
      </c>
      <c r="G13" s="30"/>
      <c r="J13" s="1" t="s">
        <v>26</v>
      </c>
    </row>
    <row r="14" spans="1:13">
      <c r="B14" s="10"/>
      <c r="C14" s="33" t="s">
        <v>27</v>
      </c>
      <c r="D14" s="11"/>
      <c r="E14" s="25">
        <f>2*8</f>
        <v>16</v>
      </c>
      <c r="F14" s="39">
        <f>E14*$G$1</f>
        <v>32</v>
      </c>
    </row>
    <row r="15" spans="1:13">
      <c r="B15" s="64"/>
      <c r="C15" s="1" t="s">
        <v>28</v>
      </c>
      <c r="E15" s="22">
        <f>3*8</f>
        <v>24</v>
      </c>
      <c r="F15" s="39">
        <f t="shared" ref="F15:F17" si="3">E15*$G$1</f>
        <v>48</v>
      </c>
      <c r="H15" s="67"/>
    </row>
    <row r="16" spans="1:13">
      <c r="B16" s="64"/>
      <c r="C16" s="1" t="s">
        <v>29</v>
      </c>
      <c r="E16" s="22">
        <v>12</v>
      </c>
      <c r="F16" s="39">
        <f t="shared" si="3"/>
        <v>24</v>
      </c>
      <c r="J16" s="1">
        <v>48</v>
      </c>
    </row>
    <row r="17" spans="2:10" ht="21">
      <c r="B17" s="64"/>
      <c r="C17" s="1" t="s">
        <v>30</v>
      </c>
      <c r="E17" s="22">
        <v>8</v>
      </c>
      <c r="F17" s="39">
        <f t="shared" si="3"/>
        <v>16</v>
      </c>
      <c r="H17" s="68"/>
      <c r="I17" s="69" t="s">
        <v>31</v>
      </c>
      <c r="J17" s="68">
        <f>K9*J16</f>
        <v>291686.39999999997</v>
      </c>
    </row>
    <row r="18" spans="2:10">
      <c r="B18" s="5" t="s">
        <v>32</v>
      </c>
      <c r="C18" s="16"/>
      <c r="D18" s="6"/>
      <c r="E18" s="22"/>
      <c r="F18" s="39"/>
    </row>
    <row r="19" spans="2:10" ht="189">
      <c r="B19" s="8"/>
      <c r="C19" s="47" t="s">
        <v>33</v>
      </c>
      <c r="D19" s="50"/>
      <c r="E19" s="42">
        <v>600</v>
      </c>
      <c r="F19" s="54">
        <v>960</v>
      </c>
      <c r="G19" s="66" t="s">
        <v>34</v>
      </c>
      <c r="H19" s="1">
        <f>160*3*2</f>
        <v>960</v>
      </c>
    </row>
    <row r="20" spans="2:10">
      <c r="B20" s="8"/>
      <c r="C20" s="18" t="s">
        <v>35</v>
      </c>
      <c r="D20" s="11"/>
      <c r="E20" s="36">
        <f>7*8</f>
        <v>56</v>
      </c>
      <c r="F20" s="39">
        <f>E20*$G$1</f>
        <v>112</v>
      </c>
    </row>
    <row r="21" spans="2:10">
      <c r="B21" s="5" t="s">
        <v>36</v>
      </c>
      <c r="C21" s="16"/>
      <c r="D21" s="6"/>
      <c r="E21" s="22"/>
      <c r="F21" s="39"/>
      <c r="G21" s="1" t="s">
        <v>37</v>
      </c>
    </row>
    <row r="22" spans="2:10">
      <c r="B22" s="8"/>
      <c r="C22" s="22" t="s">
        <v>38</v>
      </c>
      <c r="D22" s="1" t="s">
        <v>39</v>
      </c>
      <c r="E22" s="22">
        <v>24</v>
      </c>
      <c r="F22" s="39">
        <f>E22*$G$1</f>
        <v>48</v>
      </c>
    </row>
    <row r="23" spans="2:10">
      <c r="B23" s="8"/>
      <c r="C23" s="22"/>
      <c r="D23" s="1" t="s">
        <v>40</v>
      </c>
      <c r="E23" s="39">
        <v>32</v>
      </c>
      <c r="F23" s="23">
        <f>E23*$G$1</f>
        <v>64</v>
      </c>
    </row>
    <row r="24" spans="2:10">
      <c r="B24" s="8"/>
      <c r="C24" s="65"/>
      <c r="D24" s="29" t="s">
        <v>41</v>
      </c>
      <c r="E24" s="57"/>
      <c r="F24" s="54"/>
    </row>
    <row r="25" spans="2:10">
      <c r="B25" s="8"/>
      <c r="C25" s="17" t="s">
        <v>42</v>
      </c>
      <c r="D25" s="6"/>
      <c r="E25" s="22"/>
      <c r="F25" s="39">
        <f t="shared" ref="F25:F30" si="4">E25*$G$1</f>
        <v>0</v>
      </c>
    </row>
    <row r="26" spans="2:10">
      <c r="B26" s="8"/>
      <c r="C26" s="17"/>
      <c r="D26" s="1" t="s">
        <v>43</v>
      </c>
      <c r="E26" s="22">
        <v>16</v>
      </c>
      <c r="F26" s="39">
        <f t="shared" si="4"/>
        <v>32</v>
      </c>
    </row>
    <row r="27" spans="2:10">
      <c r="B27" s="8"/>
      <c r="C27" s="17"/>
      <c r="D27" s="50" t="s">
        <v>41</v>
      </c>
      <c r="E27" s="42"/>
      <c r="F27" s="54">
        <f t="shared" si="4"/>
        <v>0</v>
      </c>
    </row>
    <row r="28" spans="2:10">
      <c r="B28" s="28" t="s">
        <v>44</v>
      </c>
      <c r="C28" s="34" t="s">
        <v>45</v>
      </c>
      <c r="D28" s="21"/>
      <c r="E28" s="1">
        <f>3*8</f>
        <v>24</v>
      </c>
      <c r="F28" s="39">
        <f t="shared" si="4"/>
        <v>48</v>
      </c>
    </row>
    <row r="29" spans="2:10">
      <c r="B29" s="22"/>
      <c r="C29" s="22" t="s">
        <v>46</v>
      </c>
      <c r="D29" s="23"/>
      <c r="E29" s="1">
        <v>60</v>
      </c>
      <c r="F29" s="39">
        <f t="shared" si="4"/>
        <v>120</v>
      </c>
    </row>
    <row r="30" spans="2:10">
      <c r="B30" s="22"/>
      <c r="C30" s="22" t="s">
        <v>47</v>
      </c>
      <c r="D30" s="23"/>
      <c r="E30" s="1">
        <v>30</v>
      </c>
      <c r="F30" s="39">
        <f t="shared" si="4"/>
        <v>60</v>
      </c>
    </row>
    <row r="31" spans="2:10" ht="126">
      <c r="B31" s="22"/>
      <c r="C31" s="22" t="s">
        <v>48</v>
      </c>
      <c r="D31" s="23"/>
      <c r="E31" s="26">
        <v>64</v>
      </c>
      <c r="F31" s="39">
        <v>80</v>
      </c>
      <c r="G31" s="66" t="s">
        <v>49</v>
      </c>
    </row>
    <row r="32" spans="2:10" ht="63">
      <c r="B32" s="34" t="s">
        <v>50</v>
      </c>
      <c r="C32" s="34" t="s">
        <v>51</v>
      </c>
      <c r="D32" s="21"/>
      <c r="E32" s="1">
        <v>24</v>
      </c>
      <c r="F32" s="39">
        <f>E32*$G$1</f>
        <v>48</v>
      </c>
      <c r="G32" s="66" t="s">
        <v>52</v>
      </c>
    </row>
    <row r="33" spans="1:7" ht="110.25">
      <c r="B33" s="34"/>
      <c r="C33" s="25"/>
      <c r="D33" s="23"/>
      <c r="F33" s="39"/>
      <c r="G33" s="66" t="s">
        <v>53</v>
      </c>
    </row>
    <row r="34" spans="1:7">
      <c r="B34" s="62"/>
      <c r="C34" s="25" t="s">
        <v>54</v>
      </c>
      <c r="D34" s="27"/>
      <c r="E34" s="38">
        <v>52</v>
      </c>
      <c r="F34" s="38">
        <f>E34*$G$1</f>
        <v>104</v>
      </c>
    </row>
    <row r="35" spans="1:7">
      <c r="D35" s="40" t="s">
        <v>31</v>
      </c>
      <c r="E35" s="49">
        <f>SUM(E4:E34)</f>
        <v>1138</v>
      </c>
      <c r="F35" s="49">
        <f>SUM(F4:F34)</f>
        <v>1988</v>
      </c>
    </row>
    <row r="37" spans="1:7">
      <c r="A37" s="1" t="s">
        <v>55</v>
      </c>
      <c r="B37" s="28" t="s">
        <v>56</v>
      </c>
      <c r="C37" s="34" t="s">
        <v>9</v>
      </c>
      <c r="D37" s="20"/>
      <c r="E37" s="34">
        <v>12</v>
      </c>
      <c r="F37" s="35">
        <f t="shared" ref="F37:F43" si="5">E37*$G$1</f>
        <v>24</v>
      </c>
      <c r="G37" s="30"/>
    </row>
    <row r="38" spans="1:7">
      <c r="B38" s="63"/>
      <c r="C38" s="16" t="s">
        <v>11</v>
      </c>
      <c r="D38" s="6"/>
      <c r="E38" s="22"/>
      <c r="F38" s="39"/>
      <c r="G38" s="30"/>
    </row>
    <row r="39" spans="1:7">
      <c r="B39" s="63"/>
      <c r="C39" s="17"/>
      <c r="D39" s="1" t="s">
        <v>13</v>
      </c>
      <c r="E39" s="22">
        <v>12</v>
      </c>
      <c r="F39" s="39">
        <f t="shared" si="5"/>
        <v>24</v>
      </c>
      <c r="G39" s="30"/>
    </row>
    <row r="40" spans="1:7">
      <c r="B40" s="63"/>
      <c r="C40" s="17"/>
      <c r="D40" s="1" t="s">
        <v>15</v>
      </c>
      <c r="E40" s="22">
        <v>8</v>
      </c>
      <c r="F40" s="39">
        <f t="shared" si="5"/>
        <v>16</v>
      </c>
      <c r="G40" s="30"/>
    </row>
    <row r="41" spans="1:7">
      <c r="B41" s="63"/>
      <c r="C41" s="17"/>
      <c r="D41" s="1" t="s">
        <v>18</v>
      </c>
      <c r="E41" s="22">
        <v>8</v>
      </c>
      <c r="F41" s="39">
        <f t="shared" si="5"/>
        <v>16</v>
      </c>
      <c r="G41" s="30"/>
    </row>
    <row r="42" spans="1:7">
      <c r="B42" s="63"/>
      <c r="C42" s="17"/>
      <c r="D42" s="1" t="s">
        <v>20</v>
      </c>
      <c r="E42" s="22">
        <f>3*8</f>
        <v>24</v>
      </c>
      <c r="F42" s="39">
        <f t="shared" si="5"/>
        <v>48</v>
      </c>
      <c r="G42" s="30"/>
    </row>
    <row r="43" spans="1:7">
      <c r="B43" s="63"/>
      <c r="C43" s="17"/>
      <c r="D43" s="1" t="s">
        <v>21</v>
      </c>
      <c r="E43" s="22">
        <v>8</v>
      </c>
      <c r="F43" s="39">
        <f t="shared" si="5"/>
        <v>16</v>
      </c>
      <c r="G43" s="30"/>
    </row>
    <row r="44" spans="1:7">
      <c r="B44" s="22"/>
      <c r="C44" s="22" t="s">
        <v>57</v>
      </c>
      <c r="D44" s="23"/>
      <c r="E44" s="1">
        <v>80</v>
      </c>
      <c r="F44" s="39">
        <f>E44*$G$1</f>
        <v>160</v>
      </c>
      <c r="G44" s="30"/>
    </row>
    <row r="45" spans="1:7">
      <c r="B45" s="22"/>
      <c r="C45" s="22" t="s">
        <v>58</v>
      </c>
      <c r="D45" s="23"/>
      <c r="E45" s="1">
        <v>32</v>
      </c>
      <c r="F45" s="39">
        <f>E45*$G$1</f>
        <v>64</v>
      </c>
      <c r="G45" s="66"/>
    </row>
    <row r="46" spans="1:7">
      <c r="B46" s="22"/>
      <c r="C46" s="47" t="s">
        <v>33</v>
      </c>
      <c r="D46" s="50"/>
      <c r="E46" s="42">
        <v>600</v>
      </c>
      <c r="F46" s="54">
        <v>640</v>
      </c>
      <c r="G46" s="66" t="s">
        <v>59</v>
      </c>
    </row>
    <row r="47" spans="1:7">
      <c r="B47" s="22"/>
      <c r="C47" s="47" t="s">
        <v>60</v>
      </c>
      <c r="D47" s="50"/>
      <c r="E47" s="42">
        <f>8*4*5</f>
        <v>160</v>
      </c>
      <c r="F47" s="54">
        <f>E47*$G$1</f>
        <v>320</v>
      </c>
      <c r="G47" s="30"/>
    </row>
    <row r="48" spans="1:7">
      <c r="B48" s="25"/>
      <c r="C48" s="25" t="s">
        <v>61</v>
      </c>
      <c r="D48" s="27"/>
      <c r="E48" s="1">
        <v>40</v>
      </c>
      <c r="F48" s="39">
        <f>E48*$G$1</f>
        <v>80</v>
      </c>
    </row>
    <row r="49" spans="2:7">
      <c r="B49" s="34" t="s">
        <v>50</v>
      </c>
      <c r="C49" s="22" t="s">
        <v>51</v>
      </c>
      <c r="D49" s="23"/>
      <c r="E49" s="1">
        <v>8</v>
      </c>
      <c r="F49" s="39">
        <f>E49*$G$1</f>
        <v>16</v>
      </c>
    </row>
    <row r="50" spans="2:7">
      <c r="B50" s="22"/>
      <c r="C50" s="22" t="s">
        <v>54</v>
      </c>
      <c r="D50" s="23"/>
      <c r="E50" s="1">
        <v>24</v>
      </c>
      <c r="F50" s="39">
        <f>E50*$G$1</f>
        <v>48</v>
      </c>
    </row>
    <row r="51" spans="2:7" ht="31.5">
      <c r="B51" s="25"/>
      <c r="C51" s="25" t="s">
        <v>62</v>
      </c>
      <c r="D51" s="27"/>
      <c r="E51" s="1">
        <v>320</v>
      </c>
      <c r="F51" s="36">
        <v>60</v>
      </c>
      <c r="G51" s="66" t="s">
        <v>63</v>
      </c>
    </row>
    <row r="52" spans="2:7">
      <c r="D52" s="40" t="s">
        <v>31</v>
      </c>
      <c r="E52" s="41">
        <f>SUM(E37:E51)</f>
        <v>1336</v>
      </c>
      <c r="F52" s="49">
        <f>SUM(F44:F51)</f>
        <v>1388</v>
      </c>
    </row>
    <row r="58" spans="2:7">
      <c r="C58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3C15-9C2B-4B95-9384-E8EA94896B36}">
  <dimension ref="A1:M51"/>
  <sheetViews>
    <sheetView zoomScale="104" workbookViewId="0">
      <selection activeCell="C27" sqref="C21:F27"/>
    </sheetView>
  </sheetViews>
  <sheetFormatPr defaultColWidth="10.875" defaultRowHeight="15.75"/>
  <cols>
    <col min="1" max="1" width="12.5" style="1" customWidth="1"/>
    <col min="2" max="2" width="33.875" style="1" bestFit="1" customWidth="1"/>
    <col min="3" max="3" width="24.125" style="1" bestFit="1" customWidth="1"/>
    <col min="4" max="4" width="47.125" style="1" bestFit="1" customWidth="1"/>
    <col min="5" max="5" width="9" style="1" bestFit="1" customWidth="1"/>
    <col min="6" max="6" width="9" style="1" customWidth="1"/>
    <col min="7" max="9" width="10.875" style="1"/>
    <col min="10" max="10" width="13.5" style="1" bestFit="1" customWidth="1"/>
    <col min="11" max="16384" width="10.875" style="1"/>
  </cols>
  <sheetData>
    <row r="1" spans="1:13">
      <c r="F1" s="1" t="s">
        <v>0</v>
      </c>
      <c r="G1" s="1">
        <v>2</v>
      </c>
    </row>
    <row r="2" spans="1:13">
      <c r="G2" s="30"/>
    </row>
    <row r="3" spans="1:13">
      <c r="A3" s="1" t="s">
        <v>1</v>
      </c>
      <c r="B3" s="4" t="s">
        <v>2</v>
      </c>
      <c r="C3" s="2"/>
      <c r="D3" s="2"/>
      <c r="E3" s="34" t="s">
        <v>3</v>
      </c>
      <c r="F3" s="35"/>
      <c r="L3" s="1" t="s">
        <v>4</v>
      </c>
      <c r="M3" s="1">
        <v>2</v>
      </c>
    </row>
    <row r="4" spans="1:13">
      <c r="B4" s="13" t="s">
        <v>5</v>
      </c>
      <c r="C4" s="6"/>
      <c r="D4" s="6"/>
      <c r="E4" s="34"/>
      <c r="F4" s="39"/>
      <c r="J4" s="38"/>
      <c r="K4" s="43" t="s">
        <v>6</v>
      </c>
      <c r="L4" s="43" t="s">
        <v>7</v>
      </c>
      <c r="M4" s="43" t="s">
        <v>8</v>
      </c>
    </row>
    <row r="5" spans="1:13">
      <c r="B5" s="14"/>
      <c r="C5" s="1" t="s">
        <v>9</v>
      </c>
      <c r="E5" s="22">
        <v>12</v>
      </c>
      <c r="F5" s="39">
        <f>E5*$G$1</f>
        <v>24</v>
      </c>
      <c r="J5" s="43" t="s">
        <v>10</v>
      </c>
      <c r="K5" s="38">
        <f>E34+E51</f>
        <v>2474</v>
      </c>
      <c r="L5" s="38">
        <f>(K5/8)/M3</f>
        <v>154.625</v>
      </c>
      <c r="M5" s="38">
        <f>L5/20</f>
        <v>7.7312500000000002</v>
      </c>
    </row>
    <row r="6" spans="1:13" ht="18">
      <c r="B6" s="14"/>
      <c r="C6" s="16" t="s">
        <v>11</v>
      </c>
      <c r="D6" s="6"/>
      <c r="E6" s="22"/>
      <c r="F6" s="39"/>
      <c r="J6" s="44" t="s">
        <v>12</v>
      </c>
      <c r="K6" s="38">
        <f>K5*0.3</f>
        <v>742.19999999999993</v>
      </c>
      <c r="L6" s="38">
        <f>L5*0.3</f>
        <v>46.387499999999996</v>
      </c>
      <c r="M6" s="38">
        <f>M5*0.3</f>
        <v>2.319375</v>
      </c>
    </row>
    <row r="7" spans="1:13" ht="18">
      <c r="B7" s="14"/>
      <c r="C7" s="17"/>
      <c r="D7" s="1" t="s">
        <v>13</v>
      </c>
      <c r="E7" s="22">
        <v>12</v>
      </c>
      <c r="F7" s="39">
        <f>E7*$G$1</f>
        <v>24</v>
      </c>
      <c r="J7" s="44" t="s">
        <v>14</v>
      </c>
      <c r="K7" s="23">
        <f>K6*0.1</f>
        <v>74.22</v>
      </c>
      <c r="L7" s="23">
        <f>L6*0.1</f>
        <v>4.6387499999999999</v>
      </c>
      <c r="M7" s="23">
        <f>M6*0.1</f>
        <v>0.23193750000000002</v>
      </c>
    </row>
    <row r="8" spans="1:13" ht="18">
      <c r="B8" s="14"/>
      <c r="C8" s="17"/>
      <c r="D8" s="1" t="s">
        <v>15</v>
      </c>
      <c r="E8" s="22">
        <v>8</v>
      </c>
      <c r="F8" s="39">
        <f>E8*$G$1</f>
        <v>16</v>
      </c>
      <c r="J8" s="44" t="s">
        <v>17</v>
      </c>
      <c r="K8" s="21">
        <f>K5*0.2</f>
        <v>494.8</v>
      </c>
      <c r="L8" s="21">
        <f t="shared" ref="L8:M8" si="0">L5*0.2</f>
        <v>30.925000000000001</v>
      </c>
      <c r="M8" s="21">
        <f t="shared" si="0"/>
        <v>1.5462500000000001</v>
      </c>
    </row>
    <row r="9" spans="1:13" ht="18">
      <c r="B9" s="14"/>
      <c r="C9" s="17"/>
      <c r="D9" s="1" t="s">
        <v>18</v>
      </c>
      <c r="E9" s="22">
        <v>8</v>
      </c>
      <c r="F9" s="39">
        <f t="shared" ref="F9:F11" si="1">E9*$G$1</f>
        <v>16</v>
      </c>
      <c r="J9" s="44" t="s">
        <v>19</v>
      </c>
      <c r="K9" s="45">
        <f>SUM(K5:K8)</f>
        <v>3785.22</v>
      </c>
      <c r="L9" s="45">
        <f t="shared" ref="L9:M9" si="2">SUM(L5:L8)</f>
        <v>236.57624999999999</v>
      </c>
      <c r="M9" s="45">
        <f t="shared" si="2"/>
        <v>11.828812500000002</v>
      </c>
    </row>
    <row r="10" spans="1:13">
      <c r="B10" s="14"/>
      <c r="C10" s="17"/>
      <c r="D10" s="1" t="s">
        <v>20</v>
      </c>
      <c r="E10" s="22">
        <f>3*8</f>
        <v>24</v>
      </c>
      <c r="F10" s="39">
        <f t="shared" si="1"/>
        <v>48</v>
      </c>
    </row>
    <row r="11" spans="1:13">
      <c r="B11" s="14"/>
      <c r="C11" s="17"/>
      <c r="D11" s="1" t="s">
        <v>21</v>
      </c>
      <c r="E11" s="22">
        <v>8</v>
      </c>
      <c r="F11" s="39">
        <f t="shared" si="1"/>
        <v>16</v>
      </c>
    </row>
    <row r="12" spans="1:13">
      <c r="B12" s="5" t="s">
        <v>23</v>
      </c>
      <c r="C12" s="32"/>
      <c r="D12" s="6"/>
      <c r="E12" s="22"/>
      <c r="F12" s="39"/>
    </row>
    <row r="13" spans="1:13">
      <c r="B13" s="8"/>
      <c r="C13" s="22" t="s">
        <v>25</v>
      </c>
      <c r="E13" s="22">
        <f>8*3</f>
        <v>24</v>
      </c>
      <c r="F13" s="39">
        <f>E13*$G$1</f>
        <v>48</v>
      </c>
      <c r="G13" s="30"/>
    </row>
    <row r="14" spans="1:13">
      <c r="B14" s="10"/>
      <c r="C14" s="33" t="s">
        <v>27</v>
      </c>
      <c r="D14" s="11"/>
      <c r="E14" s="25">
        <f>2*8</f>
        <v>16</v>
      </c>
      <c r="F14" s="39">
        <f>E14*$G$1</f>
        <v>32</v>
      </c>
    </row>
    <row r="15" spans="1:13">
      <c r="B15" s="64"/>
      <c r="C15" s="1" t="s">
        <v>28</v>
      </c>
      <c r="E15" s="22">
        <f>3*8</f>
        <v>24</v>
      </c>
      <c r="F15" s="39">
        <f t="shared" ref="F15:F17" si="3">E15*$G$1</f>
        <v>48</v>
      </c>
    </row>
    <row r="16" spans="1:13">
      <c r="B16" s="64"/>
      <c r="C16" s="1" t="s">
        <v>29</v>
      </c>
      <c r="E16" s="22">
        <v>12</v>
      </c>
      <c r="F16" s="39">
        <f t="shared" si="3"/>
        <v>24</v>
      </c>
    </row>
    <row r="17" spans="2:6">
      <c r="B17" s="64"/>
      <c r="C17" s="1" t="s">
        <v>30</v>
      </c>
      <c r="E17" s="22">
        <v>8</v>
      </c>
      <c r="F17" s="39">
        <f t="shared" si="3"/>
        <v>16</v>
      </c>
    </row>
    <row r="18" spans="2:6">
      <c r="B18" s="5" t="s">
        <v>32</v>
      </c>
      <c r="C18" s="16"/>
      <c r="D18" s="6"/>
      <c r="E18" s="22"/>
      <c r="F18" s="39"/>
    </row>
    <row r="19" spans="2:6">
      <c r="B19" s="8"/>
      <c r="C19" s="47" t="s">
        <v>33</v>
      </c>
      <c r="D19" s="50"/>
      <c r="E19" s="42">
        <v>600</v>
      </c>
      <c r="F19" s="54">
        <f>E19*$G$1</f>
        <v>1200</v>
      </c>
    </row>
    <row r="20" spans="2:6">
      <c r="B20" s="8"/>
      <c r="C20" s="18" t="s">
        <v>64</v>
      </c>
      <c r="D20" s="11"/>
      <c r="E20" s="36">
        <f>7*8</f>
        <v>56</v>
      </c>
      <c r="F20" s="39">
        <f>E20*$G$1</f>
        <v>112</v>
      </c>
    </row>
    <row r="21" spans="2:6">
      <c r="B21" s="5" t="s">
        <v>36</v>
      </c>
      <c r="C21" s="16"/>
      <c r="D21" s="6"/>
      <c r="E21" s="22"/>
      <c r="F21" s="39"/>
    </row>
    <row r="22" spans="2:6">
      <c r="B22" s="8"/>
      <c r="C22" s="22" t="s">
        <v>38</v>
      </c>
      <c r="D22" s="1" t="s">
        <v>39</v>
      </c>
      <c r="E22" s="22">
        <v>24</v>
      </c>
      <c r="F22" s="39">
        <f>E22*$G$1</f>
        <v>48</v>
      </c>
    </row>
    <row r="23" spans="2:6">
      <c r="B23" s="8"/>
      <c r="C23" s="22"/>
      <c r="D23" s="1" t="s">
        <v>40</v>
      </c>
      <c r="E23" s="39">
        <v>32</v>
      </c>
      <c r="F23" s="23">
        <f>E23*$G$1</f>
        <v>64</v>
      </c>
    </row>
    <row r="24" spans="2:6">
      <c r="B24" s="8"/>
      <c r="C24" s="65"/>
      <c r="D24" s="29" t="s">
        <v>41</v>
      </c>
      <c r="E24" s="57"/>
      <c r="F24" s="54"/>
    </row>
    <row r="25" spans="2:6">
      <c r="B25" s="8"/>
      <c r="C25" s="17" t="s">
        <v>42</v>
      </c>
      <c r="D25" s="6"/>
      <c r="E25" s="22"/>
      <c r="F25" s="39">
        <f t="shared" ref="F25:F33" si="4">E25*$G$1</f>
        <v>0</v>
      </c>
    </row>
    <row r="26" spans="2:6">
      <c r="B26" s="8"/>
      <c r="C26" s="17"/>
      <c r="D26" s="1" t="s">
        <v>43</v>
      </c>
      <c r="E26" s="22">
        <v>16</v>
      </c>
      <c r="F26" s="39">
        <f t="shared" si="4"/>
        <v>32</v>
      </c>
    </row>
    <row r="27" spans="2:6">
      <c r="B27" s="8"/>
      <c r="C27" s="17"/>
      <c r="D27" s="50" t="s">
        <v>41</v>
      </c>
      <c r="E27" s="42"/>
      <c r="F27" s="54">
        <f t="shared" si="4"/>
        <v>0</v>
      </c>
    </row>
    <row r="28" spans="2:6">
      <c r="B28" s="28" t="s">
        <v>44</v>
      </c>
      <c r="C28" s="34" t="s">
        <v>45</v>
      </c>
      <c r="D28" s="21"/>
      <c r="E28" s="1">
        <f>3*8</f>
        <v>24</v>
      </c>
      <c r="F28" s="39">
        <f t="shared" si="4"/>
        <v>48</v>
      </c>
    </row>
    <row r="29" spans="2:6">
      <c r="B29" s="22"/>
      <c r="C29" s="22" t="s">
        <v>46</v>
      </c>
      <c r="D29" s="23"/>
      <c r="E29" s="1">
        <v>60</v>
      </c>
      <c r="F29" s="39">
        <f t="shared" si="4"/>
        <v>120</v>
      </c>
    </row>
    <row r="30" spans="2:6">
      <c r="B30" s="22"/>
      <c r="C30" s="22" t="s">
        <v>47</v>
      </c>
      <c r="D30" s="23"/>
      <c r="E30" s="1">
        <v>30</v>
      </c>
      <c r="F30" s="39">
        <f t="shared" si="4"/>
        <v>60</v>
      </c>
    </row>
    <row r="31" spans="2:6">
      <c r="B31" s="22"/>
      <c r="C31" s="22" t="s">
        <v>48</v>
      </c>
      <c r="D31" s="23"/>
      <c r="E31" s="26">
        <v>64</v>
      </c>
      <c r="F31" s="39">
        <f t="shared" si="4"/>
        <v>128</v>
      </c>
    </row>
    <row r="32" spans="2:6">
      <c r="B32" s="34" t="s">
        <v>50</v>
      </c>
      <c r="C32" s="34" t="s">
        <v>51</v>
      </c>
      <c r="D32" s="21"/>
      <c r="E32" s="1">
        <v>24</v>
      </c>
      <c r="F32" s="39">
        <f t="shared" si="4"/>
        <v>48</v>
      </c>
    </row>
    <row r="33" spans="1:7">
      <c r="B33" s="62"/>
      <c r="C33" s="25" t="s">
        <v>54</v>
      </c>
      <c r="D33" s="27"/>
      <c r="E33" s="38">
        <v>52</v>
      </c>
      <c r="F33" s="38">
        <f t="shared" si="4"/>
        <v>104</v>
      </c>
    </row>
    <row r="34" spans="1:7">
      <c r="D34" s="40" t="s">
        <v>31</v>
      </c>
      <c r="E34" s="49">
        <f>SUM(E4:E33)</f>
        <v>1138</v>
      </c>
      <c r="F34" s="49">
        <f>SUM(F4:F33)</f>
        <v>2276</v>
      </c>
    </row>
    <row r="36" spans="1:7">
      <c r="A36" s="1" t="s">
        <v>55</v>
      </c>
      <c r="B36" s="28" t="s">
        <v>56</v>
      </c>
      <c r="C36" s="34" t="s">
        <v>9</v>
      </c>
      <c r="D36" s="20"/>
      <c r="E36" s="34">
        <v>12</v>
      </c>
      <c r="F36" s="39">
        <f t="shared" ref="F36:F42" si="5">E36*$G$1</f>
        <v>24</v>
      </c>
      <c r="G36" s="30"/>
    </row>
    <row r="37" spans="1:7">
      <c r="B37" s="63"/>
      <c r="C37" s="16" t="s">
        <v>11</v>
      </c>
      <c r="D37" s="6"/>
      <c r="E37" s="22"/>
      <c r="F37" s="39"/>
      <c r="G37" s="30"/>
    </row>
    <row r="38" spans="1:7">
      <c r="B38" s="63"/>
      <c r="C38" s="17"/>
      <c r="D38" s="1" t="s">
        <v>13</v>
      </c>
      <c r="E38" s="22">
        <v>12</v>
      </c>
      <c r="F38" s="39">
        <f t="shared" si="5"/>
        <v>24</v>
      </c>
      <c r="G38" s="30"/>
    </row>
    <row r="39" spans="1:7">
      <c r="B39" s="63"/>
      <c r="C39" s="17"/>
      <c r="D39" s="1" t="s">
        <v>15</v>
      </c>
      <c r="E39" s="22">
        <v>8</v>
      </c>
      <c r="F39" s="39">
        <f t="shared" si="5"/>
        <v>16</v>
      </c>
      <c r="G39" s="30"/>
    </row>
    <row r="40" spans="1:7">
      <c r="B40" s="63"/>
      <c r="C40" s="17"/>
      <c r="D40" s="1" t="s">
        <v>18</v>
      </c>
      <c r="E40" s="22">
        <v>8</v>
      </c>
      <c r="F40" s="39">
        <f t="shared" si="5"/>
        <v>16</v>
      </c>
      <c r="G40" s="30"/>
    </row>
    <row r="41" spans="1:7">
      <c r="B41" s="63"/>
      <c r="C41" s="17"/>
      <c r="D41" s="1" t="s">
        <v>20</v>
      </c>
      <c r="E41" s="22">
        <f>3*8</f>
        <v>24</v>
      </c>
      <c r="F41" s="39">
        <f t="shared" si="5"/>
        <v>48</v>
      </c>
      <c r="G41" s="30"/>
    </row>
    <row r="42" spans="1:7">
      <c r="B42" s="63"/>
      <c r="C42" s="17"/>
      <c r="D42" s="1" t="s">
        <v>21</v>
      </c>
      <c r="E42" s="22">
        <v>8</v>
      </c>
      <c r="F42" s="39">
        <f t="shared" si="5"/>
        <v>16</v>
      </c>
      <c r="G42" s="30"/>
    </row>
    <row r="43" spans="1:7">
      <c r="B43" s="22"/>
      <c r="C43" s="22" t="s">
        <v>57</v>
      </c>
      <c r="D43" s="23"/>
      <c r="E43" s="1">
        <v>80</v>
      </c>
      <c r="F43" s="39">
        <f t="shared" ref="F43:F50" si="6">E43*$G$1</f>
        <v>160</v>
      </c>
      <c r="G43" s="30"/>
    </row>
    <row r="44" spans="1:7">
      <c r="B44" s="22"/>
      <c r="C44" s="22" t="s">
        <v>58</v>
      </c>
      <c r="D44" s="23"/>
      <c r="E44" s="1">
        <v>32</v>
      </c>
      <c r="F44" s="39">
        <f t="shared" si="6"/>
        <v>64</v>
      </c>
      <c r="G44" s="30"/>
    </row>
    <row r="45" spans="1:7">
      <c r="B45" s="22"/>
      <c r="C45" s="47" t="s">
        <v>33</v>
      </c>
      <c r="D45" s="50"/>
      <c r="E45" s="42">
        <v>600</v>
      </c>
      <c r="F45" s="54">
        <f t="shared" si="6"/>
        <v>1200</v>
      </c>
      <c r="G45" s="30"/>
    </row>
    <row r="46" spans="1:7">
      <c r="B46" s="22"/>
      <c r="C46" s="47" t="s">
        <v>60</v>
      </c>
      <c r="D46" s="50"/>
      <c r="E46" s="42">
        <f>8*4*5</f>
        <v>160</v>
      </c>
      <c r="F46" s="54">
        <f t="shared" si="6"/>
        <v>320</v>
      </c>
      <c r="G46" s="30"/>
    </row>
    <row r="47" spans="1:7">
      <c r="B47" s="25"/>
      <c r="C47" s="25" t="s">
        <v>61</v>
      </c>
      <c r="D47" s="27"/>
      <c r="E47" s="1">
        <v>40</v>
      </c>
      <c r="F47" s="39">
        <f t="shared" si="6"/>
        <v>80</v>
      </c>
    </row>
    <row r="48" spans="1:7">
      <c r="B48" s="34" t="s">
        <v>50</v>
      </c>
      <c r="C48" s="22" t="s">
        <v>51</v>
      </c>
      <c r="D48" s="23"/>
      <c r="E48" s="1">
        <v>8</v>
      </c>
      <c r="F48" s="39">
        <f t="shared" si="6"/>
        <v>16</v>
      </c>
    </row>
    <row r="49" spans="2:6">
      <c r="B49" s="22"/>
      <c r="C49" s="22" t="s">
        <v>54</v>
      </c>
      <c r="D49" s="23"/>
      <c r="E49" s="1">
        <v>24</v>
      </c>
      <c r="F49" s="39">
        <f t="shared" si="6"/>
        <v>48</v>
      </c>
    </row>
    <row r="50" spans="2:6">
      <c r="B50" s="25"/>
      <c r="C50" s="25" t="s">
        <v>62</v>
      </c>
      <c r="D50" s="27"/>
      <c r="E50" s="1">
        <v>320</v>
      </c>
      <c r="F50" s="36">
        <f t="shared" si="6"/>
        <v>640</v>
      </c>
    </row>
    <row r="51" spans="2:6">
      <c r="D51" s="40" t="s">
        <v>31</v>
      </c>
      <c r="E51" s="41">
        <f>SUM(E36:E50)</f>
        <v>1336</v>
      </c>
      <c r="F51" s="49">
        <f>SUM(F43:F50)</f>
        <v>2528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846D-6804-1A42-9892-CB708F1B826B}">
  <dimension ref="A2:F56"/>
  <sheetViews>
    <sheetView topLeftCell="B39" zoomScale="104" workbookViewId="0">
      <selection activeCell="B39" sqref="B39"/>
    </sheetView>
  </sheetViews>
  <sheetFormatPr defaultColWidth="10.875" defaultRowHeight="15.75"/>
  <cols>
    <col min="1" max="1" width="12.5" style="1" customWidth="1"/>
    <col min="2" max="2" width="33.875" style="1" bestFit="1" customWidth="1"/>
    <col min="3" max="3" width="24.125" style="1" bestFit="1" customWidth="1"/>
    <col min="4" max="4" width="47.125" style="1" bestFit="1" customWidth="1"/>
    <col min="5" max="16384" width="10.875" style="1"/>
  </cols>
  <sheetData>
    <row r="2" spans="2:6">
      <c r="F2" s="30" t="s">
        <v>65</v>
      </c>
    </row>
    <row r="3" spans="2:6">
      <c r="B3" s="4" t="s">
        <v>66</v>
      </c>
      <c r="C3" s="2"/>
      <c r="D3" s="3"/>
      <c r="F3" s="30" t="s">
        <v>67</v>
      </c>
    </row>
    <row r="4" spans="2:6">
      <c r="B4" s="13" t="s">
        <v>68</v>
      </c>
      <c r="C4" s="6"/>
      <c r="D4" s="7"/>
      <c r="F4" s="30" t="s">
        <v>69</v>
      </c>
    </row>
    <row r="5" spans="2:6">
      <c r="B5" s="14"/>
      <c r="C5" s="1" t="s">
        <v>70</v>
      </c>
      <c r="D5" s="9"/>
    </row>
    <row r="6" spans="2:6">
      <c r="B6" s="14"/>
      <c r="D6" s="9" t="s">
        <v>71</v>
      </c>
    </row>
    <row r="7" spans="2:6">
      <c r="B7" s="14"/>
      <c r="C7" s="11"/>
      <c r="D7" s="12" t="s">
        <v>72</v>
      </c>
    </row>
    <row r="8" spans="2:6">
      <c r="B8" s="14"/>
      <c r="C8" s="16" t="s">
        <v>73</v>
      </c>
      <c r="D8" s="7"/>
    </row>
    <row r="9" spans="2:6">
      <c r="B9" s="14"/>
      <c r="C9" s="17"/>
      <c r="D9" s="9" t="s">
        <v>21</v>
      </c>
    </row>
    <row r="10" spans="2:6">
      <c r="B10" s="14"/>
      <c r="C10" s="17"/>
      <c r="D10" s="9" t="s">
        <v>20</v>
      </c>
    </row>
    <row r="11" spans="2:6">
      <c r="B11" s="15"/>
      <c r="C11" s="18"/>
      <c r="D11" s="12" t="s">
        <v>74</v>
      </c>
    </row>
    <row r="12" spans="2:6">
      <c r="B12" s="5" t="s">
        <v>75</v>
      </c>
      <c r="C12" s="32"/>
      <c r="D12" s="7"/>
    </row>
    <row r="13" spans="2:6">
      <c r="B13" s="8"/>
      <c r="C13" s="22" t="s">
        <v>76</v>
      </c>
      <c r="D13" s="9"/>
      <c r="F13" s="30" t="s">
        <v>77</v>
      </c>
    </row>
    <row r="14" spans="2:6">
      <c r="B14" s="10"/>
      <c r="C14" s="33" t="s">
        <v>78</v>
      </c>
      <c r="D14" s="12"/>
    </row>
    <row r="15" spans="2:6">
      <c r="B15" s="5" t="s">
        <v>32</v>
      </c>
      <c r="C15" s="16"/>
      <c r="D15" s="7"/>
    </row>
    <row r="16" spans="2:6">
      <c r="B16" s="8"/>
      <c r="C16" s="17" t="s">
        <v>79</v>
      </c>
      <c r="D16" s="9"/>
    </row>
    <row r="17" spans="2:4">
      <c r="B17" s="8"/>
      <c r="C17" s="17" t="s">
        <v>80</v>
      </c>
      <c r="D17" s="9"/>
    </row>
    <row r="18" spans="2:4">
      <c r="B18" s="8"/>
      <c r="C18" s="18" t="s">
        <v>81</v>
      </c>
      <c r="D18" s="12"/>
    </row>
    <row r="19" spans="2:4">
      <c r="B19" s="8"/>
      <c r="C19" s="16" t="s">
        <v>82</v>
      </c>
      <c r="D19" s="7"/>
    </row>
    <row r="20" spans="2:4">
      <c r="B20" s="8"/>
      <c r="C20" s="17"/>
      <c r="D20" s="9" t="s">
        <v>20</v>
      </c>
    </row>
    <row r="21" spans="2:4">
      <c r="B21" s="10"/>
      <c r="C21" s="18"/>
      <c r="D21" s="12" t="s">
        <v>83</v>
      </c>
    </row>
    <row r="22" spans="2:4">
      <c r="B22" s="5" t="s">
        <v>84</v>
      </c>
      <c r="C22" s="16"/>
      <c r="D22" s="7"/>
    </row>
    <row r="23" spans="2:4">
      <c r="B23" s="8"/>
      <c r="C23" s="18" t="s">
        <v>85</v>
      </c>
      <c r="D23" s="12"/>
    </row>
    <row r="24" spans="2:4">
      <c r="B24" s="8"/>
      <c r="C24" s="16" t="s">
        <v>41</v>
      </c>
      <c r="D24" s="7"/>
    </row>
    <row r="25" spans="2:4">
      <c r="B25" s="8"/>
      <c r="C25" s="47" t="s">
        <v>86</v>
      </c>
      <c r="D25" s="9" t="s">
        <v>87</v>
      </c>
    </row>
    <row r="26" spans="2:4">
      <c r="B26" s="8"/>
      <c r="C26" s="47" t="s">
        <v>88</v>
      </c>
      <c r="D26" s="9" t="s">
        <v>89</v>
      </c>
    </row>
    <row r="27" spans="2:4">
      <c r="B27" s="10"/>
      <c r="C27" s="48" t="s">
        <v>90</v>
      </c>
      <c r="D27" s="12" t="s">
        <v>91</v>
      </c>
    </row>
    <row r="28" spans="2:4">
      <c r="B28" s="5" t="s">
        <v>92</v>
      </c>
      <c r="C28" s="16"/>
      <c r="D28" s="7"/>
    </row>
    <row r="29" spans="2:4">
      <c r="B29" s="8"/>
      <c r="C29" s="18" t="s">
        <v>93</v>
      </c>
      <c r="D29" s="12"/>
    </row>
    <row r="30" spans="2:4">
      <c r="B30" s="8"/>
      <c r="C30" s="16" t="s">
        <v>94</v>
      </c>
      <c r="D30" s="7" t="s">
        <v>95</v>
      </c>
    </row>
    <row r="31" spans="2:4">
      <c r="B31" s="8"/>
      <c r="C31" s="17"/>
      <c r="D31" s="9" t="s">
        <v>96</v>
      </c>
    </row>
    <row r="32" spans="2:4">
      <c r="B32" s="8"/>
      <c r="C32" s="17"/>
      <c r="D32" s="9"/>
    </row>
    <row r="33" spans="1:6">
      <c r="B33" s="8"/>
      <c r="C33" s="17" t="s">
        <v>97</v>
      </c>
      <c r="D33" s="9"/>
    </row>
    <row r="34" spans="1:6">
      <c r="B34" s="34" t="s">
        <v>44</v>
      </c>
      <c r="C34" s="34" t="s">
        <v>98</v>
      </c>
      <c r="D34" s="21"/>
    </row>
    <row r="35" spans="1:6">
      <c r="B35" s="22"/>
      <c r="C35" s="22" t="s">
        <v>99</v>
      </c>
      <c r="D35" s="23"/>
    </row>
    <row r="36" spans="1:6">
      <c r="B36" s="22"/>
      <c r="C36" s="22" t="s">
        <v>100</v>
      </c>
      <c r="D36" s="23"/>
    </row>
    <row r="37" spans="1:6">
      <c r="B37" s="25"/>
      <c r="C37" s="25" t="s">
        <v>101</v>
      </c>
      <c r="D37" s="27"/>
    </row>
    <row r="44" spans="1:6">
      <c r="A44" s="1" t="s">
        <v>55</v>
      </c>
      <c r="B44" s="28" t="s">
        <v>102</v>
      </c>
      <c r="C44" s="46" t="s">
        <v>103</v>
      </c>
      <c r="D44" s="21"/>
      <c r="F44" s="30" t="s">
        <v>104</v>
      </c>
    </row>
    <row r="45" spans="1:6">
      <c r="B45" s="22" t="s">
        <v>105</v>
      </c>
      <c r="C45" s="1" t="s">
        <v>106</v>
      </c>
      <c r="D45" s="23" t="s">
        <v>107</v>
      </c>
      <c r="F45" s="30" t="s">
        <v>108</v>
      </c>
    </row>
    <row r="46" spans="1:6">
      <c r="B46" s="22"/>
      <c r="C46" s="1" t="s">
        <v>109</v>
      </c>
      <c r="D46" s="23" t="s">
        <v>110</v>
      </c>
    </row>
    <row r="47" spans="1:6">
      <c r="B47" s="22"/>
      <c r="C47" s="1" t="s">
        <v>57</v>
      </c>
      <c r="D47" s="24" t="s">
        <v>111</v>
      </c>
    </row>
    <row r="48" spans="1:6">
      <c r="B48" s="25"/>
      <c r="C48" s="26" t="s">
        <v>112</v>
      </c>
      <c r="D48" s="27" t="s">
        <v>113</v>
      </c>
    </row>
    <row r="50" spans="1:6">
      <c r="A50" s="1" t="s">
        <v>114</v>
      </c>
      <c r="B50" s="28" t="s">
        <v>115</v>
      </c>
      <c r="C50" s="20"/>
      <c r="D50" s="21"/>
      <c r="F50" s="30" t="s">
        <v>116</v>
      </c>
    </row>
    <row r="51" spans="1:6" ht="31.5">
      <c r="B51" s="22" t="s">
        <v>117</v>
      </c>
      <c r="C51" s="1" t="s">
        <v>118</v>
      </c>
      <c r="D51" s="31" t="s">
        <v>119</v>
      </c>
      <c r="F51" s="30" t="s">
        <v>120</v>
      </c>
    </row>
    <row r="52" spans="1:6">
      <c r="B52" s="22"/>
      <c r="C52" s="1" t="s">
        <v>121</v>
      </c>
      <c r="D52" s="23" t="s">
        <v>107</v>
      </c>
    </row>
    <row r="53" spans="1:6">
      <c r="B53" s="22"/>
      <c r="C53" s="1" t="s">
        <v>122</v>
      </c>
      <c r="D53" s="23" t="s">
        <v>123</v>
      </c>
    </row>
    <row r="54" spans="1:6">
      <c r="B54" s="22"/>
      <c r="D54" s="23" t="s">
        <v>124</v>
      </c>
    </row>
    <row r="55" spans="1:6">
      <c r="B55" s="22"/>
      <c r="D55" s="23" t="s">
        <v>125</v>
      </c>
    </row>
    <row r="56" spans="1:6">
      <c r="B56" s="25"/>
      <c r="C56" s="29" t="s">
        <v>126</v>
      </c>
      <c r="D56" s="27" t="s">
        <v>127</v>
      </c>
    </row>
  </sheetData>
  <hyperlinks>
    <hyperlink ref="F50" r:id="rId1" xr:uid="{2F37C68E-4AFC-444B-9CDC-E8415F36F011}"/>
    <hyperlink ref="F45" r:id="rId2" xr:uid="{0FAECCFE-1711-4794-887C-EB18FA5114F8}"/>
    <hyperlink ref="F44" r:id="rId3" xr:uid="{CBBB09EC-3489-4BBF-BC72-B6D2D8075EF6}"/>
    <hyperlink ref="F51" r:id="rId4" xr:uid="{0D1231AC-D737-42D6-91B9-1E9914696A39}"/>
    <hyperlink ref="F2" r:id="rId5" xr:uid="{28E5B0C5-D8FA-413E-9B27-C66E03ADAC40}"/>
    <hyperlink ref="F13" r:id="rId6" location="0" xr:uid="{3DFDCE22-528B-4214-98E3-812B5D775EBD}"/>
    <hyperlink ref="F3" r:id="rId7" xr:uid="{00306765-F949-406B-8130-96C2656FBEEA}"/>
    <hyperlink ref="F4" r:id="rId8" xr:uid="{D45D9D4C-13B6-4756-A280-38F52CBE4D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94CA-19A5-B848-BA41-15127861DC7E}">
  <dimension ref="A1:A10"/>
  <sheetViews>
    <sheetView workbookViewId="0">
      <selection activeCell="A7" sqref="A7"/>
    </sheetView>
  </sheetViews>
  <sheetFormatPr defaultColWidth="11" defaultRowHeight="15.75"/>
  <sheetData>
    <row r="1" spans="1:1">
      <c r="A1" t="s">
        <v>128</v>
      </c>
    </row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  <row r="8" spans="1:1">
      <c r="A8" t="s">
        <v>135</v>
      </c>
    </row>
    <row r="9" spans="1:1">
      <c r="A9" t="s">
        <v>136</v>
      </c>
    </row>
    <row r="10" spans="1:1">
      <c r="A10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05FC-DBAF-40E9-B032-5A3E5D5F881B}">
  <dimension ref="A1:I31"/>
  <sheetViews>
    <sheetView topLeftCell="A6" workbookViewId="0">
      <selection activeCell="A27" sqref="A27"/>
    </sheetView>
  </sheetViews>
  <sheetFormatPr defaultRowHeight="15.75"/>
  <cols>
    <col min="1" max="1" width="72.625" customWidth="1"/>
  </cols>
  <sheetData>
    <row r="1" spans="1:9">
      <c r="A1" t="s">
        <v>138</v>
      </c>
      <c r="B1" s="19" t="s">
        <v>139</v>
      </c>
    </row>
    <row r="4" spans="1:9">
      <c r="A4" t="s">
        <v>140</v>
      </c>
      <c r="I4" t="s">
        <v>141</v>
      </c>
    </row>
    <row r="5" spans="1:9">
      <c r="I5" t="s">
        <v>142</v>
      </c>
    </row>
    <row r="17" spans="1:2">
      <c r="A17" t="s">
        <v>143</v>
      </c>
      <c r="B17" s="19" t="s">
        <v>144</v>
      </c>
    </row>
    <row r="19" spans="1:2">
      <c r="A19" s="19" t="s">
        <v>145</v>
      </c>
    </row>
    <row r="20" spans="1:2">
      <c r="A20" t="s">
        <v>146</v>
      </c>
    </row>
    <row r="21" spans="1:2">
      <c r="A21" s="19" t="s">
        <v>147</v>
      </c>
    </row>
    <row r="22" spans="1:2">
      <c r="A22" s="19" t="s">
        <v>148</v>
      </c>
    </row>
    <row r="23" spans="1:2">
      <c r="A23" s="19" t="s">
        <v>149</v>
      </c>
    </row>
    <row r="27" spans="1:2">
      <c r="A27" t="s">
        <v>150</v>
      </c>
    </row>
    <row r="28" spans="1:2">
      <c r="A28" s="19" t="s">
        <v>151</v>
      </c>
    </row>
    <row r="29" spans="1:2">
      <c r="A29" s="19" t="s">
        <v>152</v>
      </c>
    </row>
    <row r="30" spans="1:2">
      <c r="A30" s="19" t="s">
        <v>153</v>
      </c>
    </row>
    <row r="31" spans="1:2">
      <c r="A31" s="19" t="s">
        <v>154</v>
      </c>
    </row>
  </sheetData>
  <hyperlinks>
    <hyperlink ref="B1" r:id="rId1" xr:uid="{E2A1BC40-A7C8-4863-A10F-C0068B1C4412}"/>
    <hyperlink ref="A28" r:id="rId2" xr:uid="{2AB146AA-BE57-45F3-BBC2-34E87A5578F8}"/>
    <hyperlink ref="A29" r:id="rId3" xr:uid="{D1F6A5E8-606F-4D33-BCB6-87C54610B45F}"/>
    <hyperlink ref="A21" r:id="rId4" xr:uid="{2B26711B-BC24-4F72-AE96-AB93B6F4BBA0}"/>
    <hyperlink ref="A30" r:id="rId5" xr:uid="{F7BAA9DA-C22B-4156-AB1D-B9C57B74D5B6}"/>
    <hyperlink ref="A19" r:id="rId6" location=":~:text=The%20price%20ranges%20are%20%2425,and%20%24150%20above%20per%20month" xr:uid="{86D94EDE-1118-4B20-9F39-714C1EE3D6D7}"/>
    <hyperlink ref="A22" r:id="rId7" xr:uid="{85578B4C-CFE7-4037-A6E3-6E2BBA122DD9}"/>
    <hyperlink ref="A23" r:id="rId8" xr:uid="{1BDAA003-789A-4204-9DEB-05BDD3F4AE3D}"/>
    <hyperlink ref="A31" r:id="rId9" xr:uid="{79BBB6CC-3DBA-4C33-985A-E29FEF0F8BE5}"/>
    <hyperlink ref="B17" r:id="rId10" xr:uid="{7EBAEABE-80E1-409F-AD83-CAF69912B7A2}"/>
  </hyperlink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C1C2-3A43-4FE2-AA1F-603549D49575}">
  <dimension ref="A1:M73"/>
  <sheetViews>
    <sheetView topLeftCell="A2" zoomScale="104" workbookViewId="0">
      <selection activeCell="D12" sqref="D12"/>
    </sheetView>
  </sheetViews>
  <sheetFormatPr defaultColWidth="10.875" defaultRowHeight="15.75"/>
  <cols>
    <col min="1" max="1" width="12.5" style="1" customWidth="1"/>
    <col min="2" max="2" width="33.875" style="1" bestFit="1" customWidth="1"/>
    <col min="3" max="3" width="24.125" style="1" bestFit="1" customWidth="1"/>
    <col min="4" max="4" width="47.125" style="1" bestFit="1" customWidth="1"/>
    <col min="5" max="5" width="9" style="1" bestFit="1" customWidth="1"/>
    <col min="6" max="6" width="9" style="1" customWidth="1"/>
    <col min="7" max="16384" width="10.875" style="1"/>
  </cols>
  <sheetData>
    <row r="1" spans="1:13">
      <c r="F1" s="1" t="s">
        <v>0</v>
      </c>
      <c r="G1" s="1">
        <v>2</v>
      </c>
    </row>
    <row r="2" spans="1:13">
      <c r="G2" s="30"/>
    </row>
    <row r="3" spans="1:13">
      <c r="A3" s="1" t="s">
        <v>1</v>
      </c>
      <c r="B3" s="4" t="s">
        <v>66</v>
      </c>
      <c r="C3" s="2"/>
      <c r="D3" s="2"/>
      <c r="E3" s="34" t="s">
        <v>3</v>
      </c>
      <c r="F3" s="35"/>
      <c r="H3" s="1" t="s">
        <v>155</v>
      </c>
    </row>
    <row r="4" spans="1:13">
      <c r="B4" s="13" t="s">
        <v>68</v>
      </c>
      <c r="C4" s="6"/>
      <c r="D4" s="6"/>
      <c r="E4" s="34"/>
      <c r="F4" s="39"/>
      <c r="J4" s="38"/>
      <c r="K4" s="43" t="s">
        <v>6</v>
      </c>
      <c r="L4" s="43" t="s">
        <v>7</v>
      </c>
      <c r="M4" s="43" t="s">
        <v>8</v>
      </c>
    </row>
    <row r="5" spans="1:13">
      <c r="B5" s="14"/>
      <c r="C5" s="1" t="s">
        <v>70</v>
      </c>
      <c r="E5" s="22"/>
      <c r="F5" s="39"/>
      <c r="J5" s="43" t="s">
        <v>10</v>
      </c>
      <c r="K5" s="38">
        <f>F41</f>
        <v>1398</v>
      </c>
      <c r="L5" s="38">
        <f>K5/8</f>
        <v>174.75</v>
      </c>
      <c r="M5" s="38">
        <f>L5/20</f>
        <v>8.7375000000000007</v>
      </c>
    </row>
    <row r="6" spans="1:13">
      <c r="B6" s="14"/>
      <c r="D6" s="1" t="s">
        <v>71</v>
      </c>
      <c r="E6" s="22">
        <v>12</v>
      </c>
      <c r="F6" s="39">
        <f t="shared" ref="F6:F40" si="0">E6*$G$1</f>
        <v>24</v>
      </c>
      <c r="H6" s="1">
        <v>1</v>
      </c>
      <c r="J6" s="43" t="s">
        <v>156</v>
      </c>
      <c r="K6" s="38">
        <f>F57</f>
        <v>552</v>
      </c>
      <c r="L6" s="38">
        <f>K6/8</f>
        <v>69</v>
      </c>
      <c r="M6" s="38">
        <f t="shared" ref="M6:M7" si="1">L6/20</f>
        <v>3.45</v>
      </c>
    </row>
    <row r="7" spans="1:13">
      <c r="B7" s="14"/>
      <c r="C7" s="11"/>
      <c r="D7" s="11" t="s">
        <v>72</v>
      </c>
      <c r="E7" s="25">
        <v>16</v>
      </c>
      <c r="F7" s="39">
        <f t="shared" si="0"/>
        <v>32</v>
      </c>
      <c r="H7" s="1">
        <v>1</v>
      </c>
      <c r="J7" s="43" t="s">
        <v>157</v>
      </c>
      <c r="K7" s="38">
        <f>F73</f>
        <v>360</v>
      </c>
      <c r="L7" s="38">
        <f>K7/8</f>
        <v>45</v>
      </c>
      <c r="M7" s="38">
        <f t="shared" si="1"/>
        <v>2.25</v>
      </c>
    </row>
    <row r="8" spans="1:13" ht="18">
      <c r="B8" s="14"/>
      <c r="C8" s="16" t="s">
        <v>73</v>
      </c>
      <c r="D8" s="6"/>
      <c r="E8" s="22"/>
      <c r="F8" s="39">
        <f t="shared" si="0"/>
        <v>0</v>
      </c>
      <c r="J8" s="44" t="s">
        <v>19</v>
      </c>
      <c r="K8" s="45">
        <f>SUM(K5:K7)</f>
        <v>2310</v>
      </c>
      <c r="L8" s="45">
        <f>SUM(L5:L7)</f>
        <v>288.75</v>
      </c>
      <c r="M8" s="45">
        <f>SUM(M5:M7)</f>
        <v>14.4375</v>
      </c>
    </row>
    <row r="9" spans="1:13">
      <c r="B9" s="14"/>
      <c r="C9" s="17"/>
      <c r="D9" s="1" t="s">
        <v>21</v>
      </c>
      <c r="E9" s="22">
        <v>24</v>
      </c>
      <c r="F9" s="39">
        <f t="shared" si="0"/>
        <v>48</v>
      </c>
      <c r="H9" s="1">
        <v>1</v>
      </c>
    </row>
    <row r="10" spans="1:13">
      <c r="B10" s="14"/>
      <c r="C10" s="17"/>
      <c r="D10" s="1" t="s">
        <v>20</v>
      </c>
      <c r="E10" s="22">
        <v>28</v>
      </c>
      <c r="F10" s="39">
        <f t="shared" si="0"/>
        <v>56</v>
      </c>
      <c r="H10" s="1">
        <v>1</v>
      </c>
    </row>
    <row r="11" spans="1:13">
      <c r="B11" s="15"/>
      <c r="C11" s="18"/>
      <c r="D11" s="11" t="s">
        <v>74</v>
      </c>
      <c r="E11" s="25">
        <v>4</v>
      </c>
      <c r="F11" s="39">
        <f t="shared" si="0"/>
        <v>8</v>
      </c>
      <c r="H11" s="1">
        <v>1</v>
      </c>
      <c r="J11" s="1">
        <v>60</v>
      </c>
    </row>
    <row r="12" spans="1:13">
      <c r="B12" s="5" t="s">
        <v>75</v>
      </c>
      <c r="C12" s="32"/>
      <c r="D12" s="6"/>
      <c r="E12" s="22">
        <v>7</v>
      </c>
      <c r="F12" s="39">
        <f t="shared" si="0"/>
        <v>14</v>
      </c>
    </row>
    <row r="13" spans="1:13">
      <c r="B13" s="8"/>
      <c r="C13" s="22" t="s">
        <v>76</v>
      </c>
      <c r="E13" s="22">
        <v>18</v>
      </c>
      <c r="F13" s="39">
        <f t="shared" si="0"/>
        <v>36</v>
      </c>
      <c r="G13" s="30"/>
      <c r="H13" s="1">
        <v>2</v>
      </c>
    </row>
    <row r="14" spans="1:13">
      <c r="B14" s="10"/>
      <c r="C14" s="33" t="s">
        <v>78</v>
      </c>
      <c r="D14" s="11"/>
      <c r="E14" s="25">
        <v>24</v>
      </c>
      <c r="F14" s="39">
        <f t="shared" si="0"/>
        <v>48</v>
      </c>
      <c r="H14" s="1">
        <v>1</v>
      </c>
    </row>
    <row r="15" spans="1:13">
      <c r="B15" s="5" t="s">
        <v>32</v>
      </c>
      <c r="C15" s="16"/>
      <c r="D15" s="6"/>
      <c r="E15" s="22"/>
      <c r="F15" s="39">
        <f t="shared" si="0"/>
        <v>0</v>
      </c>
    </row>
    <row r="16" spans="1:13">
      <c r="B16" s="8"/>
      <c r="C16" s="17" t="s">
        <v>79</v>
      </c>
      <c r="E16" s="22">
        <v>28</v>
      </c>
      <c r="F16" s="39">
        <f t="shared" si="0"/>
        <v>56</v>
      </c>
      <c r="H16" s="1">
        <v>1</v>
      </c>
    </row>
    <row r="17" spans="2:10">
      <c r="B17" s="8"/>
      <c r="C17" s="17" t="s">
        <v>158</v>
      </c>
      <c r="E17" s="22">
        <v>22</v>
      </c>
      <c r="F17" s="39">
        <f t="shared" si="0"/>
        <v>44</v>
      </c>
      <c r="H17" s="1">
        <v>1</v>
      </c>
    </row>
    <row r="18" spans="2:10">
      <c r="B18" s="8"/>
      <c r="C18" s="18" t="s">
        <v>81</v>
      </c>
      <c r="D18" s="11"/>
      <c r="E18" s="25">
        <v>14</v>
      </c>
      <c r="F18" s="39">
        <f t="shared" si="0"/>
        <v>28</v>
      </c>
      <c r="H18" s="1">
        <v>1</v>
      </c>
    </row>
    <row r="19" spans="2:10">
      <c r="B19" s="8"/>
      <c r="C19" s="16" t="s">
        <v>82</v>
      </c>
      <c r="D19" s="6"/>
      <c r="E19" s="22"/>
      <c r="F19" s="39">
        <f t="shared" si="0"/>
        <v>0</v>
      </c>
      <c r="H19" s="1">
        <v>1</v>
      </c>
    </row>
    <row r="20" spans="2:10">
      <c r="B20" s="8"/>
      <c r="C20" s="17"/>
      <c r="D20" s="1" t="s">
        <v>20</v>
      </c>
      <c r="E20" s="22">
        <v>68</v>
      </c>
      <c r="F20" s="39">
        <f t="shared" si="0"/>
        <v>136</v>
      </c>
      <c r="H20" s="1">
        <v>1</v>
      </c>
      <c r="J20" s="1" t="s">
        <v>159</v>
      </c>
    </row>
    <row r="21" spans="2:10">
      <c r="B21" s="10"/>
      <c r="C21" s="18"/>
      <c r="D21" s="11" t="s">
        <v>83</v>
      </c>
      <c r="E21" s="25">
        <v>12</v>
      </c>
      <c r="F21" s="39">
        <f t="shared" si="0"/>
        <v>24</v>
      </c>
      <c r="H21" s="1">
        <v>1</v>
      </c>
    </row>
    <row r="22" spans="2:10">
      <c r="B22" s="5" t="s">
        <v>84</v>
      </c>
      <c r="C22" s="16"/>
      <c r="D22" s="6"/>
      <c r="E22" s="22"/>
      <c r="F22" s="39">
        <f t="shared" si="0"/>
        <v>0</v>
      </c>
    </row>
    <row r="23" spans="2:10">
      <c r="B23" s="8"/>
      <c r="C23" s="18" t="s">
        <v>85</v>
      </c>
      <c r="D23" s="11"/>
      <c r="E23" s="25">
        <v>16</v>
      </c>
      <c r="F23" s="39">
        <f t="shared" si="0"/>
        <v>32</v>
      </c>
    </row>
    <row r="24" spans="2:10">
      <c r="B24" s="8"/>
      <c r="C24" s="16" t="s">
        <v>41</v>
      </c>
      <c r="D24" s="6"/>
      <c r="E24" s="22"/>
      <c r="F24" s="39">
        <f t="shared" si="0"/>
        <v>0</v>
      </c>
      <c r="J24" s="1" t="s">
        <v>160</v>
      </c>
    </row>
    <row r="25" spans="2:10">
      <c r="B25" s="8"/>
      <c r="C25" s="17"/>
      <c r="D25" s="1" t="s">
        <v>87</v>
      </c>
      <c r="E25" s="22">
        <v>24</v>
      </c>
      <c r="F25" s="39">
        <f t="shared" si="0"/>
        <v>48</v>
      </c>
      <c r="H25" s="1">
        <v>1</v>
      </c>
      <c r="J25" s="1" t="s">
        <v>161</v>
      </c>
    </row>
    <row r="26" spans="2:10">
      <c r="B26" s="8"/>
      <c r="C26" s="17"/>
      <c r="D26" s="1" t="s">
        <v>89</v>
      </c>
      <c r="E26" s="22">
        <v>32</v>
      </c>
      <c r="F26" s="39">
        <f t="shared" si="0"/>
        <v>64</v>
      </c>
      <c r="H26" s="1">
        <v>1</v>
      </c>
    </row>
    <row r="27" spans="2:10">
      <c r="B27" s="10"/>
      <c r="C27" s="18"/>
      <c r="D27" s="11" t="s">
        <v>91</v>
      </c>
      <c r="E27" s="25">
        <v>24</v>
      </c>
      <c r="F27" s="39">
        <f t="shared" si="0"/>
        <v>48</v>
      </c>
      <c r="H27" s="1">
        <v>1</v>
      </c>
    </row>
    <row r="28" spans="2:10">
      <c r="B28" s="51" t="s">
        <v>92</v>
      </c>
      <c r="C28" s="52"/>
      <c r="D28" s="53"/>
      <c r="E28" s="42"/>
      <c r="F28" s="54">
        <f t="shared" si="0"/>
        <v>0</v>
      </c>
    </row>
    <row r="29" spans="2:10">
      <c r="B29" s="55"/>
      <c r="C29" s="48" t="s">
        <v>93</v>
      </c>
      <c r="D29" s="56"/>
      <c r="E29" s="57">
        <v>32</v>
      </c>
      <c r="F29" s="54">
        <f t="shared" si="0"/>
        <v>64</v>
      </c>
    </row>
    <row r="30" spans="2:10">
      <c r="B30" s="55"/>
      <c r="C30" s="52" t="s">
        <v>94</v>
      </c>
      <c r="D30" s="53" t="s">
        <v>95</v>
      </c>
      <c r="E30" s="42">
        <v>32</v>
      </c>
      <c r="F30" s="54">
        <f t="shared" si="0"/>
        <v>64</v>
      </c>
      <c r="J30" s="1" t="s">
        <v>162</v>
      </c>
    </row>
    <row r="31" spans="2:10">
      <c r="B31" s="55"/>
      <c r="C31" s="47"/>
      <c r="D31" s="50" t="s">
        <v>96</v>
      </c>
      <c r="E31" s="42">
        <v>14</v>
      </c>
      <c r="F31" s="54">
        <f t="shared" si="0"/>
        <v>28</v>
      </c>
      <c r="J31" s="1" t="s">
        <v>163</v>
      </c>
    </row>
    <row r="32" spans="2:10">
      <c r="B32" s="55"/>
      <c r="C32" s="47"/>
      <c r="D32" s="50"/>
      <c r="E32" s="42"/>
      <c r="F32" s="54">
        <f t="shared" si="0"/>
        <v>0</v>
      </c>
      <c r="J32" s="1" t="s">
        <v>164</v>
      </c>
    </row>
    <row r="33" spans="1:10">
      <c r="B33" s="55"/>
      <c r="C33" s="47" t="s">
        <v>97</v>
      </c>
      <c r="D33" s="50"/>
      <c r="E33" s="57">
        <v>16</v>
      </c>
      <c r="F33" s="54">
        <f t="shared" si="0"/>
        <v>32</v>
      </c>
    </row>
    <row r="34" spans="1:10">
      <c r="B34" s="34" t="s">
        <v>44</v>
      </c>
      <c r="C34" s="34" t="s">
        <v>98</v>
      </c>
      <c r="D34" s="21"/>
      <c r="E34" s="1">
        <v>32</v>
      </c>
      <c r="F34" s="39">
        <f t="shared" si="0"/>
        <v>64</v>
      </c>
      <c r="H34" s="1">
        <v>1</v>
      </c>
    </row>
    <row r="35" spans="1:10">
      <c r="B35" s="22"/>
      <c r="C35" s="22" t="s">
        <v>99</v>
      </c>
      <c r="D35" s="23"/>
      <c r="E35" s="1">
        <v>24</v>
      </c>
      <c r="F35" s="39">
        <f t="shared" si="0"/>
        <v>48</v>
      </c>
      <c r="H35" s="1">
        <v>2</v>
      </c>
    </row>
    <row r="36" spans="1:10">
      <c r="B36" s="22"/>
      <c r="C36" s="22" t="s">
        <v>100</v>
      </c>
      <c r="D36" s="23"/>
      <c r="E36" s="1">
        <v>8</v>
      </c>
      <c r="F36" s="39">
        <f t="shared" si="0"/>
        <v>16</v>
      </c>
      <c r="H36" s="1">
        <v>2</v>
      </c>
    </row>
    <row r="37" spans="1:10">
      <c r="B37" s="22"/>
      <c r="C37" s="22" t="s">
        <v>101</v>
      </c>
      <c r="D37" s="23"/>
      <c r="E37" s="26">
        <v>32</v>
      </c>
      <c r="F37" s="39">
        <f t="shared" si="0"/>
        <v>64</v>
      </c>
      <c r="H37" s="1">
        <v>2</v>
      </c>
    </row>
    <row r="38" spans="1:10">
      <c r="B38" s="34" t="s">
        <v>50</v>
      </c>
      <c r="C38" s="34" t="s">
        <v>51</v>
      </c>
      <c r="D38" s="21"/>
      <c r="E38" s="1">
        <v>32</v>
      </c>
      <c r="F38" s="39">
        <f t="shared" si="0"/>
        <v>64</v>
      </c>
      <c r="H38" s="1">
        <v>1</v>
      </c>
    </row>
    <row r="39" spans="1:10">
      <c r="B39" s="22"/>
      <c r="C39" s="22" t="s">
        <v>54</v>
      </c>
      <c r="D39" s="23"/>
      <c r="E39" s="1">
        <v>52</v>
      </c>
      <c r="F39" s="39">
        <f t="shared" si="0"/>
        <v>104</v>
      </c>
      <c r="H39" s="1">
        <v>1</v>
      </c>
    </row>
    <row r="40" spans="1:10">
      <c r="B40" s="25"/>
      <c r="C40" s="57" t="s">
        <v>62</v>
      </c>
      <c r="D40" s="58"/>
      <c r="E40" s="50">
        <v>52</v>
      </c>
      <c r="F40" s="59">
        <f t="shared" si="0"/>
        <v>104</v>
      </c>
      <c r="J40" s="1" t="s">
        <v>165</v>
      </c>
    </row>
    <row r="41" spans="1:10">
      <c r="D41" s="40" t="s">
        <v>31</v>
      </c>
      <c r="E41" s="41">
        <f>SUM(E4:E40)</f>
        <v>699</v>
      </c>
      <c r="F41" s="49">
        <f>SUM(F4:F40)</f>
        <v>1398</v>
      </c>
    </row>
    <row r="43" spans="1:10">
      <c r="C43" s="60" t="s">
        <v>166</v>
      </c>
    </row>
    <row r="44" spans="1:10">
      <c r="C44" s="60" t="s">
        <v>167</v>
      </c>
    </row>
    <row r="45" spans="1:10">
      <c r="A45" s="1" t="s">
        <v>55</v>
      </c>
      <c r="B45" s="28" t="s">
        <v>102</v>
      </c>
      <c r="C45" s="61" t="s">
        <v>168</v>
      </c>
      <c r="D45" s="21"/>
      <c r="E45" s="20"/>
      <c r="F45" s="35"/>
      <c r="G45" s="30"/>
      <c r="H45" s="1" t="s">
        <v>169</v>
      </c>
    </row>
    <row r="46" spans="1:10">
      <c r="B46" s="22" t="s">
        <v>105</v>
      </c>
      <c r="C46" s="22" t="s">
        <v>170</v>
      </c>
      <c r="D46" s="23"/>
      <c r="E46" s="1">
        <v>80</v>
      </c>
      <c r="F46" s="39">
        <f t="shared" ref="F46:F56" si="2">E46*$G$1</f>
        <v>160</v>
      </c>
      <c r="G46" s="30"/>
      <c r="H46" s="1">
        <v>1</v>
      </c>
    </row>
    <row r="47" spans="1:10">
      <c r="B47" s="22"/>
      <c r="C47" s="22" t="s">
        <v>109</v>
      </c>
      <c r="D47" s="23"/>
      <c r="E47" s="1">
        <v>32</v>
      </c>
      <c r="F47" s="39">
        <f t="shared" si="2"/>
        <v>64</v>
      </c>
      <c r="G47" s="30"/>
    </row>
    <row r="48" spans="1:10">
      <c r="B48" s="22"/>
      <c r="C48" s="22" t="s">
        <v>57</v>
      </c>
      <c r="D48" s="23"/>
      <c r="E48" s="1">
        <v>64</v>
      </c>
      <c r="F48" s="39">
        <f t="shared" si="2"/>
        <v>128</v>
      </c>
      <c r="G48" s="30"/>
      <c r="H48" s="1">
        <v>2</v>
      </c>
    </row>
    <row r="49" spans="1:11">
      <c r="B49" s="22"/>
      <c r="C49" s="22" t="s">
        <v>112</v>
      </c>
      <c r="D49" s="23"/>
      <c r="E49" s="1">
        <v>36</v>
      </c>
      <c r="F49" s="39">
        <f t="shared" si="2"/>
        <v>72</v>
      </c>
      <c r="G49" s="30"/>
      <c r="H49" s="1">
        <v>1</v>
      </c>
      <c r="J49" s="1" t="s">
        <v>171</v>
      </c>
    </row>
    <row r="50" spans="1:11">
      <c r="B50" s="22"/>
      <c r="C50" s="22" t="s">
        <v>107</v>
      </c>
      <c r="D50" s="23"/>
      <c r="E50" s="1">
        <v>0</v>
      </c>
      <c r="F50" s="39">
        <f t="shared" si="2"/>
        <v>0</v>
      </c>
    </row>
    <row r="51" spans="1:11">
      <c r="B51" s="22"/>
      <c r="C51" s="22" t="s">
        <v>110</v>
      </c>
      <c r="D51" s="23"/>
      <c r="E51" s="1">
        <v>0</v>
      </c>
      <c r="F51" s="39">
        <f t="shared" si="2"/>
        <v>0</v>
      </c>
    </row>
    <row r="52" spans="1:11">
      <c r="B52" s="22"/>
      <c r="C52" s="42" t="s">
        <v>111</v>
      </c>
      <c r="D52" s="23"/>
      <c r="E52" s="50">
        <v>0</v>
      </c>
      <c r="F52" s="39">
        <f t="shared" si="2"/>
        <v>0</v>
      </c>
    </row>
    <row r="53" spans="1:11">
      <c r="B53" s="25"/>
      <c r="C53" s="25" t="s">
        <v>113</v>
      </c>
      <c r="D53" s="27"/>
      <c r="E53" s="1">
        <v>8</v>
      </c>
      <c r="F53" s="39">
        <f t="shared" si="2"/>
        <v>16</v>
      </c>
      <c r="H53" s="1">
        <v>1</v>
      </c>
    </row>
    <row r="54" spans="1:11">
      <c r="B54" s="34" t="s">
        <v>50</v>
      </c>
      <c r="C54" s="22" t="s">
        <v>51</v>
      </c>
      <c r="D54" s="23"/>
      <c r="E54" s="1">
        <v>8</v>
      </c>
      <c r="F54" s="39">
        <f t="shared" si="2"/>
        <v>16</v>
      </c>
      <c r="H54" s="1">
        <v>1</v>
      </c>
    </row>
    <row r="55" spans="1:11">
      <c r="B55" s="22"/>
      <c r="C55" s="22" t="s">
        <v>54</v>
      </c>
      <c r="D55" s="23"/>
      <c r="E55" s="1">
        <v>24</v>
      </c>
      <c r="F55" s="39">
        <f t="shared" si="2"/>
        <v>48</v>
      </c>
      <c r="H55" s="1">
        <v>1</v>
      </c>
    </row>
    <row r="56" spans="1:11">
      <c r="B56" s="25"/>
      <c r="C56" s="25" t="s">
        <v>62</v>
      </c>
      <c r="D56" s="27"/>
      <c r="E56" s="1">
        <v>24</v>
      </c>
      <c r="F56" s="36">
        <f t="shared" si="2"/>
        <v>48</v>
      </c>
      <c r="H56" s="1">
        <v>1</v>
      </c>
    </row>
    <row r="57" spans="1:11">
      <c r="D57" s="40" t="s">
        <v>31</v>
      </c>
      <c r="E57" s="41">
        <f>SUM(E46:E56)</f>
        <v>276</v>
      </c>
      <c r="F57" s="49">
        <f>SUM(F46:F56)</f>
        <v>552</v>
      </c>
    </row>
    <row r="59" spans="1:11">
      <c r="A59" s="1" t="s">
        <v>114</v>
      </c>
      <c r="B59" s="28" t="s">
        <v>115</v>
      </c>
      <c r="C59" s="34"/>
      <c r="D59" s="21"/>
      <c r="E59" s="20"/>
      <c r="F59" s="35"/>
      <c r="K59" s="30" t="s">
        <v>116</v>
      </c>
    </row>
    <row r="60" spans="1:11">
      <c r="B60" s="22" t="s">
        <v>117</v>
      </c>
      <c r="C60" s="22" t="s">
        <v>118</v>
      </c>
      <c r="D60" s="31"/>
      <c r="E60" s="1">
        <v>6</v>
      </c>
      <c r="F60" s="39">
        <f t="shared" ref="F60:F72" si="3">E60*$G$1</f>
        <v>12</v>
      </c>
      <c r="H60" s="1">
        <v>3</v>
      </c>
      <c r="K60" s="30" t="s">
        <v>120</v>
      </c>
    </row>
    <row r="61" spans="1:11">
      <c r="B61" s="22"/>
      <c r="C61" s="22" t="s">
        <v>121</v>
      </c>
      <c r="D61" s="23"/>
      <c r="E61" s="1">
        <v>12</v>
      </c>
      <c r="F61" s="39">
        <f t="shared" si="3"/>
        <v>24</v>
      </c>
      <c r="H61" s="1">
        <v>3</v>
      </c>
    </row>
    <row r="62" spans="1:11">
      <c r="B62" s="22"/>
      <c r="C62" s="22" t="s">
        <v>122</v>
      </c>
      <c r="D62" s="23"/>
      <c r="E62" s="1">
        <v>6</v>
      </c>
      <c r="F62" s="39">
        <f t="shared" si="3"/>
        <v>12</v>
      </c>
      <c r="H62" s="1">
        <v>3</v>
      </c>
    </row>
    <row r="63" spans="1:11">
      <c r="B63" s="22"/>
      <c r="C63" s="42" t="s">
        <v>126</v>
      </c>
      <c r="D63" s="23"/>
      <c r="E63" s="50">
        <v>24</v>
      </c>
      <c r="F63" s="39">
        <f t="shared" si="3"/>
        <v>48</v>
      </c>
      <c r="H63" s="1">
        <v>3</v>
      </c>
    </row>
    <row r="64" spans="1:11">
      <c r="B64" s="22"/>
      <c r="C64" s="22" t="s">
        <v>119</v>
      </c>
      <c r="D64" s="23"/>
      <c r="E64" s="1">
        <v>8</v>
      </c>
      <c r="F64" s="39">
        <f t="shared" si="3"/>
        <v>16</v>
      </c>
      <c r="H64" s="1">
        <v>3</v>
      </c>
    </row>
    <row r="65" spans="2:8">
      <c r="B65" s="22"/>
      <c r="C65" s="22" t="s">
        <v>107</v>
      </c>
      <c r="D65" s="23"/>
      <c r="E65" s="1">
        <v>4</v>
      </c>
      <c r="F65" s="39">
        <f t="shared" si="3"/>
        <v>8</v>
      </c>
      <c r="H65" s="1">
        <v>3</v>
      </c>
    </row>
    <row r="66" spans="2:8">
      <c r="B66" s="22"/>
      <c r="C66" s="42" t="s">
        <v>123</v>
      </c>
      <c r="D66" s="23"/>
      <c r="E66" s="1">
        <v>16</v>
      </c>
      <c r="F66" s="39">
        <f t="shared" si="3"/>
        <v>32</v>
      </c>
      <c r="H66" s="1">
        <v>3</v>
      </c>
    </row>
    <row r="67" spans="2:8">
      <c r="B67" s="22"/>
      <c r="C67" s="22" t="s">
        <v>124</v>
      </c>
      <c r="D67" s="23"/>
      <c r="E67" s="1">
        <v>16</v>
      </c>
      <c r="F67" s="39">
        <f t="shared" si="3"/>
        <v>32</v>
      </c>
      <c r="H67" s="1">
        <v>3</v>
      </c>
    </row>
    <row r="68" spans="2:8">
      <c r="B68" s="22"/>
      <c r="C68" s="22" t="s">
        <v>125</v>
      </c>
      <c r="D68" s="23"/>
      <c r="E68" s="1">
        <v>16</v>
      </c>
      <c r="F68" s="39">
        <f t="shared" si="3"/>
        <v>32</v>
      </c>
      <c r="H68" s="1">
        <v>3</v>
      </c>
    </row>
    <row r="69" spans="2:8">
      <c r="B69" s="25"/>
      <c r="C69" s="25" t="s">
        <v>127</v>
      </c>
      <c r="D69" s="27"/>
      <c r="E69" s="1">
        <v>16</v>
      </c>
      <c r="F69" s="39">
        <f t="shared" si="3"/>
        <v>32</v>
      </c>
      <c r="H69" s="1">
        <v>3</v>
      </c>
    </row>
    <row r="70" spans="2:8">
      <c r="B70" s="34" t="s">
        <v>50</v>
      </c>
      <c r="C70" s="22" t="s">
        <v>51</v>
      </c>
      <c r="E70" s="34">
        <v>8</v>
      </c>
      <c r="F70" s="39">
        <f t="shared" si="3"/>
        <v>16</v>
      </c>
      <c r="H70" s="1">
        <v>3</v>
      </c>
    </row>
    <row r="71" spans="2:8">
      <c r="B71" s="22"/>
      <c r="C71" s="22" t="s">
        <v>54</v>
      </c>
      <c r="E71" s="22">
        <v>24</v>
      </c>
      <c r="F71" s="39">
        <f t="shared" si="3"/>
        <v>48</v>
      </c>
      <c r="H71" s="1">
        <v>3</v>
      </c>
    </row>
    <row r="72" spans="2:8">
      <c r="B72" s="25"/>
      <c r="C72" s="25" t="s">
        <v>62</v>
      </c>
      <c r="D72" s="26"/>
      <c r="E72" s="22">
        <v>24</v>
      </c>
      <c r="F72" s="36">
        <f t="shared" si="3"/>
        <v>48</v>
      </c>
      <c r="H72" s="1">
        <v>3</v>
      </c>
    </row>
    <row r="73" spans="2:8">
      <c r="D73" s="37" t="s">
        <v>31</v>
      </c>
      <c r="E73" s="38">
        <f>SUM(E60:E72)</f>
        <v>180</v>
      </c>
      <c r="F73" s="36">
        <f>SUM(F60:F72)</f>
        <v>360</v>
      </c>
      <c r="G73" s="38"/>
    </row>
  </sheetData>
  <hyperlinks>
    <hyperlink ref="K59" r:id="rId1" xr:uid="{EFE41DE2-4167-45A7-9B1B-CDFB4D730624}"/>
    <hyperlink ref="K60" r:id="rId2" xr:uid="{21D5425F-B3BA-4C7A-A078-6FFFC331C5A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67E5-78B5-4FC1-84A8-1255CDE6B720}">
  <dimension ref="A2:G41"/>
  <sheetViews>
    <sheetView tabSelected="1" zoomScale="110" zoomScaleNormal="110" workbookViewId="0">
      <selection activeCell="C9" sqref="C9"/>
    </sheetView>
  </sheetViews>
  <sheetFormatPr defaultRowHeight="15.75"/>
  <cols>
    <col min="2" max="2" width="13.625" customWidth="1"/>
    <col min="3" max="3" width="19.125" customWidth="1"/>
  </cols>
  <sheetData>
    <row r="2" spans="1:7">
      <c r="A2" s="75" t="s">
        <v>172</v>
      </c>
      <c r="B2" s="76"/>
      <c r="C2" s="76"/>
      <c r="D2" s="76"/>
      <c r="E2" s="76"/>
      <c r="F2" s="76"/>
      <c r="G2" s="76"/>
    </row>
    <row r="3" spans="1:7">
      <c r="B3" s="74" t="s">
        <v>173</v>
      </c>
      <c r="C3" s="74"/>
      <c r="D3" s="74"/>
      <c r="E3" t="s">
        <v>174</v>
      </c>
      <c r="F3" t="s">
        <v>175</v>
      </c>
      <c r="G3" t="s">
        <v>176</v>
      </c>
    </row>
    <row r="4" spans="1:7">
      <c r="C4" t="s">
        <v>177</v>
      </c>
      <c r="D4">
        <v>40</v>
      </c>
      <c r="E4">
        <v>2</v>
      </c>
      <c r="F4" s="72">
        <v>44301</v>
      </c>
      <c r="G4" s="71">
        <f>F4+(7*E4)</f>
        <v>44315</v>
      </c>
    </row>
    <row r="5" spans="1:7">
      <c r="C5" t="s">
        <v>178</v>
      </c>
      <c r="D5">
        <v>10</v>
      </c>
    </row>
    <row r="6" spans="1:7">
      <c r="B6" s="74" t="s">
        <v>44</v>
      </c>
      <c r="C6" s="74"/>
      <c r="D6" s="74"/>
      <c r="E6">
        <v>4</v>
      </c>
      <c r="F6" s="71">
        <f>G4</f>
        <v>44315</v>
      </c>
      <c r="G6" s="71">
        <f>F6+(7*E6)</f>
        <v>44343</v>
      </c>
    </row>
    <row r="7" spans="1:7">
      <c r="C7" t="s">
        <v>179</v>
      </c>
      <c r="D7">
        <v>32</v>
      </c>
      <c r="E7">
        <v>1</v>
      </c>
    </row>
    <row r="8" spans="1:7">
      <c r="C8" t="s">
        <v>180</v>
      </c>
      <c r="D8">
        <v>32</v>
      </c>
      <c r="E8">
        <v>1</v>
      </c>
    </row>
    <row r="9" spans="1:7">
      <c r="C9" t="s">
        <v>181</v>
      </c>
      <c r="D9">
        <v>16</v>
      </c>
      <c r="E9">
        <v>1</v>
      </c>
    </row>
    <row r="10" spans="1:7">
      <c r="C10" t="s">
        <v>182</v>
      </c>
      <c r="D10">
        <v>36</v>
      </c>
      <c r="E10">
        <v>1</v>
      </c>
    </row>
    <row r="11" spans="1:7">
      <c r="B11" s="74" t="s">
        <v>183</v>
      </c>
      <c r="C11" s="74"/>
      <c r="D11" s="74"/>
    </row>
    <row r="12" spans="1:7">
      <c r="C12" t="s">
        <v>184</v>
      </c>
      <c r="D12">
        <v>24</v>
      </c>
      <c r="E12">
        <v>2</v>
      </c>
      <c r="F12" s="71">
        <f>G6</f>
        <v>44343</v>
      </c>
      <c r="G12" s="71">
        <f>F12+(7*E12)</f>
        <v>44357</v>
      </c>
    </row>
    <row r="13" spans="1:7">
      <c r="B13" s="74" t="s">
        <v>185</v>
      </c>
      <c r="C13" s="74"/>
      <c r="D13" s="74"/>
      <c r="E13">
        <v>3</v>
      </c>
      <c r="F13" s="71">
        <f>G12</f>
        <v>44357</v>
      </c>
      <c r="G13" s="71">
        <f>F13+(7*E13)</f>
        <v>44378</v>
      </c>
    </row>
    <row r="14" spans="1:7">
      <c r="C14" t="s">
        <v>51</v>
      </c>
      <c r="D14">
        <v>16</v>
      </c>
      <c r="E14">
        <v>1</v>
      </c>
    </row>
    <row r="15" spans="1:7">
      <c r="C15" t="s">
        <v>186</v>
      </c>
      <c r="D15">
        <v>16</v>
      </c>
      <c r="E15">
        <v>1</v>
      </c>
    </row>
    <row r="16" spans="1:7">
      <c r="C16" t="s">
        <v>187</v>
      </c>
      <c r="D16">
        <v>12</v>
      </c>
      <c r="E16">
        <v>1</v>
      </c>
    </row>
    <row r="17" spans="1:7">
      <c r="B17" s="74" t="s">
        <v>41</v>
      </c>
      <c r="C17" s="74"/>
      <c r="D17" s="74"/>
    </row>
    <row r="18" spans="1:7">
      <c r="C18" t="s">
        <v>188</v>
      </c>
      <c r="D18">
        <v>72</v>
      </c>
      <c r="E18">
        <v>4</v>
      </c>
      <c r="F18" s="71">
        <f>G13</f>
        <v>44378</v>
      </c>
      <c r="G18" s="71">
        <f>F18+(7*E18)</f>
        <v>44406</v>
      </c>
    </row>
    <row r="19" spans="1:7">
      <c r="C19" t="s">
        <v>189</v>
      </c>
      <c r="D19">
        <v>54</v>
      </c>
      <c r="E19">
        <v>4</v>
      </c>
      <c r="F19" s="71">
        <f>G18</f>
        <v>44406</v>
      </c>
      <c r="G19" s="71">
        <f>F19+(7*E19)</f>
        <v>44434</v>
      </c>
    </row>
    <row r="22" spans="1:7">
      <c r="A22" s="75" t="s">
        <v>190</v>
      </c>
      <c r="B22" s="76"/>
      <c r="C22" s="76"/>
      <c r="D22" s="76"/>
      <c r="E22" s="76" t="s">
        <v>174</v>
      </c>
      <c r="F22" s="76" t="s">
        <v>191</v>
      </c>
      <c r="G22" s="76" t="s">
        <v>176</v>
      </c>
    </row>
    <row r="23" spans="1:7">
      <c r="B23" s="74" t="s">
        <v>173</v>
      </c>
      <c r="C23" s="74"/>
      <c r="D23" s="74"/>
      <c r="E23">
        <v>3</v>
      </c>
      <c r="F23" s="73">
        <v>44256</v>
      </c>
      <c r="G23" s="71">
        <f>F23+(7*E23)</f>
        <v>44277</v>
      </c>
    </row>
    <row r="24" spans="1:7">
      <c r="C24" t="s">
        <v>177</v>
      </c>
      <c r="D24">
        <v>40</v>
      </c>
    </row>
    <row r="25" spans="1:7">
      <c r="C25" t="s">
        <v>178</v>
      </c>
      <c r="D25">
        <v>10</v>
      </c>
    </row>
    <row r="26" spans="1:7">
      <c r="B26" s="74" t="s">
        <v>185</v>
      </c>
      <c r="C26" s="74"/>
      <c r="D26" s="74"/>
      <c r="E26">
        <v>3</v>
      </c>
      <c r="F26" s="71">
        <f>G23</f>
        <v>44277</v>
      </c>
      <c r="G26" s="71">
        <f>F26+(7*E26)</f>
        <v>44298</v>
      </c>
    </row>
    <row r="27" spans="1:7">
      <c r="C27" t="s">
        <v>51</v>
      </c>
      <c r="D27">
        <v>16</v>
      </c>
      <c r="E27">
        <v>1</v>
      </c>
    </row>
    <row r="28" spans="1:7">
      <c r="C28" t="s">
        <v>186</v>
      </c>
      <c r="D28">
        <v>16</v>
      </c>
      <c r="E28">
        <v>1</v>
      </c>
    </row>
    <row r="29" spans="1:7">
      <c r="C29" t="s">
        <v>187</v>
      </c>
      <c r="D29">
        <v>12</v>
      </c>
      <c r="E29">
        <v>1</v>
      </c>
    </row>
    <row r="30" spans="1:7">
      <c r="B30" s="74" t="s">
        <v>184</v>
      </c>
      <c r="C30" s="74"/>
      <c r="D30" s="74"/>
      <c r="E30">
        <v>1</v>
      </c>
      <c r="F30" s="71">
        <f>G26</f>
        <v>44298</v>
      </c>
      <c r="G30" s="71">
        <f>F30+(7*E30)</f>
        <v>44305</v>
      </c>
    </row>
    <row r="31" spans="1:7">
      <c r="C31" t="s">
        <v>192</v>
      </c>
      <c r="D31">
        <v>8</v>
      </c>
    </row>
    <row r="32" spans="1:7">
      <c r="B32" s="74" t="s">
        <v>193</v>
      </c>
      <c r="C32" s="74"/>
      <c r="D32" s="74"/>
      <c r="E32">
        <v>8</v>
      </c>
      <c r="F32" s="71">
        <f>G30</f>
        <v>44305</v>
      </c>
      <c r="G32" s="71">
        <f>F32+(7*E32)</f>
        <v>44361</v>
      </c>
    </row>
    <row r="33" spans="2:7">
      <c r="C33" t="s">
        <v>194</v>
      </c>
      <c r="D33">
        <v>80</v>
      </c>
      <c r="E33">
        <v>4</v>
      </c>
    </row>
    <row r="34" spans="2:7">
      <c r="C34" t="s">
        <v>195</v>
      </c>
      <c r="D34">
        <v>80</v>
      </c>
      <c r="E34">
        <v>4</v>
      </c>
    </row>
    <row r="35" spans="2:7">
      <c r="B35" s="74" t="s">
        <v>196</v>
      </c>
      <c r="C35" s="74"/>
      <c r="D35" s="74">
        <v>24</v>
      </c>
      <c r="E35">
        <v>2</v>
      </c>
      <c r="F35" s="71">
        <f>G32</f>
        <v>44361</v>
      </c>
      <c r="G35" s="71">
        <f>F35+(7*E35)</f>
        <v>44375</v>
      </c>
    </row>
    <row r="37" spans="2:7">
      <c r="C37" s="77" t="s">
        <v>197</v>
      </c>
      <c r="D37" s="77">
        <f>SUM(D4:D35)</f>
        <v>646</v>
      </c>
    </row>
    <row r="38" spans="2:7">
      <c r="C38" s="77" t="s">
        <v>198</v>
      </c>
      <c r="D38" s="77">
        <f>D37*30%</f>
        <v>193.79999999999998</v>
      </c>
    </row>
    <row r="39" spans="2:7">
      <c r="C39" s="77" t="s">
        <v>14</v>
      </c>
      <c r="D39" s="77">
        <f>D37*20%</f>
        <v>129.20000000000002</v>
      </c>
    </row>
    <row r="41" spans="2:7">
      <c r="C41" s="74" t="s">
        <v>199</v>
      </c>
      <c r="D41" s="74">
        <f>SUM(D37:D39)</f>
        <v>969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Alvaro Hernandez</cp:lastModifiedBy>
  <cp:revision/>
  <dcterms:created xsi:type="dcterms:W3CDTF">2020-09-27T00:21:03Z</dcterms:created>
  <dcterms:modified xsi:type="dcterms:W3CDTF">2021-04-12T22:15:27Z</dcterms:modified>
  <cp:category/>
  <cp:contentStatus/>
</cp:coreProperties>
</file>